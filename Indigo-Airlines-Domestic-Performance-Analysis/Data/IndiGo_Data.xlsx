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rojects\Indigo-Airlines-Domestic-Performance-Analysis\Data\"/>
    </mc:Choice>
  </mc:AlternateContent>
  <xr:revisionPtr revIDLastSave="0" documentId="13_ncr:1_{10FF68F5-6851-4D9F-96C0-73C64CBC62E9}" xr6:coauthVersionLast="47" xr6:coauthVersionMax="47" xr10:uidLastSave="{00000000-0000-0000-0000-000000000000}"/>
  <bookViews>
    <workbookView xWindow="-110" yWindow="-110" windowWidth="19420" windowHeight="10300" firstSheet="2" activeTab="4" xr2:uid="{00000000-000D-0000-FFFF-FFFF00000000}"/>
  </bookViews>
  <sheets>
    <sheet name="KPI" sheetId="3" r:id="rId1"/>
    <sheet name="Aircraft Wise Analysis" sheetId="4" r:id="rId2"/>
    <sheet name="Route Wise Analysis" sheetId="5" r:id="rId3"/>
    <sheet name="MOM Trend Analysis" sheetId="6" r:id="rId4"/>
    <sheet name="IndiGo_Flight_Cleaned_Data" sheetId="2" r:id="rId5"/>
    <sheet name="IndiGo_Flight_Data" sheetId="1" r:id="rId6"/>
  </sheets>
  <definedNames>
    <definedName name="ExternalData_1" localSheetId="4" hidden="1">IndiGo_Flight_Cleaned_Data!$A$1:$W$501</definedName>
    <definedName name="Slicer_Aircraft_Type">#N/A</definedName>
    <definedName name="Slicer_Aircraft_Type1">#N/A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L2" i="2" a="1"/>
  <c r="L2" i="2" s="1"/>
  <c r="L3" i="2" a="1"/>
  <c r="L3" i="2" s="1"/>
  <c r="L4" i="2" a="1"/>
  <c r="L4" i="2" s="1"/>
  <c r="L5" i="2" a="1"/>
  <c r="L5" i="2" s="1"/>
  <c r="L6" i="2" a="1"/>
  <c r="L6" i="2" s="1"/>
  <c r="L7" i="2" a="1"/>
  <c r="L7" i="2" s="1"/>
  <c r="L8" i="2" a="1"/>
  <c r="L8" i="2"/>
  <c r="L9" i="2" a="1"/>
  <c r="L9" i="2" s="1"/>
  <c r="L10" i="2" a="1"/>
  <c r="L10" i="2" s="1"/>
  <c r="L11" i="2" a="1"/>
  <c r="L11" i="2" s="1"/>
  <c r="L12" i="2" a="1"/>
  <c r="L12" i="2" s="1"/>
  <c r="L13" i="2" a="1"/>
  <c r="L13" i="2" s="1"/>
  <c r="L14" i="2" a="1"/>
  <c r="L14" i="2" s="1"/>
  <c r="L15" i="2" a="1"/>
  <c r="L15" i="2"/>
  <c r="L16" i="2" a="1"/>
  <c r="L16" i="2"/>
  <c r="L17" i="2" a="1"/>
  <c r="L17" i="2" s="1"/>
  <c r="L18" i="2" a="1"/>
  <c r="L18" i="2"/>
  <c r="L19" i="2" a="1"/>
  <c r="L19" i="2" s="1"/>
  <c r="L20" i="2" a="1"/>
  <c r="L20" i="2" s="1"/>
  <c r="L21" i="2" a="1"/>
  <c r="L21" i="2" s="1"/>
  <c r="L22" i="2" a="1"/>
  <c r="L22" i="2"/>
  <c r="L23" i="2" a="1"/>
  <c r="L23" i="2" s="1"/>
  <c r="L24" i="2" a="1"/>
  <c r="L24" i="2"/>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c r="L39" i="2" a="1"/>
  <c r="L39" i="2"/>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c r="L51" i="2" a="1"/>
  <c r="L51" i="2" s="1"/>
  <c r="L52" i="2" a="1"/>
  <c r="L52" i="2" s="1"/>
  <c r="L53" i="2" a="1"/>
  <c r="L53" i="2" s="1"/>
  <c r="L54" i="2" a="1"/>
  <c r="L54" i="2" s="1"/>
  <c r="L55" i="2" a="1"/>
  <c r="L55" i="2" s="1"/>
  <c r="L56" i="2" a="1"/>
  <c r="L56" i="2"/>
  <c r="L57" i="2" a="1"/>
  <c r="L57" i="2" s="1"/>
  <c r="L58" i="2" a="1"/>
  <c r="L58" i="2" s="1"/>
  <c r="L59" i="2" a="1"/>
  <c r="L59" i="2"/>
  <c r="L60" i="2" a="1"/>
  <c r="L60" i="2" s="1"/>
  <c r="L61" i="2" a="1"/>
  <c r="L61" i="2" s="1"/>
  <c r="L62" i="2" a="1"/>
  <c r="L62" i="2"/>
  <c r="L63" i="2" a="1"/>
  <c r="L63" i="2" s="1"/>
  <c r="L64" i="2" a="1"/>
  <c r="L64" i="2" s="1"/>
  <c r="L65" i="2" a="1"/>
  <c r="L65" i="2" s="1"/>
  <c r="L66" i="2" a="1"/>
  <c r="L66" i="2" s="1"/>
  <c r="L67" i="2" a="1"/>
  <c r="L67" i="2" s="1"/>
  <c r="L68" i="2" a="1"/>
  <c r="L68" i="2"/>
  <c r="L69" i="2" a="1"/>
  <c r="L69" i="2" s="1"/>
  <c r="L70" i="2" a="1"/>
  <c r="L70" i="2" s="1"/>
  <c r="L71" i="2" a="1"/>
  <c r="L71" i="2" s="1"/>
  <c r="L72" i="2" a="1"/>
  <c r="L72" i="2"/>
  <c r="L73" i="2" a="1"/>
  <c r="L73" i="2" s="1"/>
  <c r="L74" i="2" a="1"/>
  <c r="L74" i="2" s="1"/>
  <c r="L75" i="2" a="1"/>
  <c r="L75" i="2" s="1"/>
  <c r="L76" i="2" a="1"/>
  <c r="L76" i="2" s="1"/>
  <c r="L77" i="2" a="1"/>
  <c r="L77" i="2" s="1"/>
  <c r="L78" i="2" a="1"/>
  <c r="L78" i="2" s="1"/>
  <c r="L79" i="2" a="1"/>
  <c r="L79" i="2"/>
  <c r="L80" i="2" a="1"/>
  <c r="L80" i="2"/>
  <c r="L81" i="2" a="1"/>
  <c r="L81" i="2" s="1"/>
  <c r="L82" i="2" a="1"/>
  <c r="L82" i="2" s="1"/>
  <c r="L83" i="2" a="1"/>
  <c r="L83" i="2" s="1"/>
  <c r="L84" i="2" a="1"/>
  <c r="L84" i="2" s="1"/>
  <c r="L85" i="2" a="1"/>
  <c r="L85" i="2" s="1"/>
  <c r="L86" i="2" a="1"/>
  <c r="L86" i="2"/>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c r="L98" i="2" a="1"/>
  <c r="L98" i="2" s="1"/>
  <c r="L99" i="2" a="1"/>
  <c r="L99" i="2" s="1"/>
  <c r="L100" i="2" a="1"/>
  <c r="L100" i="2" s="1"/>
  <c r="L101" i="2" a="1"/>
  <c r="L101" i="2"/>
  <c r="L102" i="2" a="1"/>
  <c r="L102" i="2" s="1"/>
  <c r="L103" i="2" a="1"/>
  <c r="L103" i="2" s="1"/>
  <c r="L104" i="2" a="1"/>
  <c r="L104" i="2" s="1"/>
  <c r="L105" i="2" a="1"/>
  <c r="L105" i="2" s="1"/>
  <c r="L106" i="2" a="1"/>
  <c r="L106" i="2" s="1"/>
  <c r="L107" i="2" a="1"/>
  <c r="L107" i="2"/>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c r="L136" i="2" a="1"/>
  <c r="L136" i="2" s="1"/>
  <c r="L137" i="2" a="1"/>
  <c r="L137" i="2" s="1"/>
  <c r="L138" i="2" a="1"/>
  <c r="L138" i="2" s="1"/>
  <c r="L139" i="2" a="1"/>
  <c r="L139" i="2"/>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c r="L168" i="2" a="1"/>
  <c r="L168" i="2" s="1"/>
  <c r="L169" i="2" a="1"/>
  <c r="L169" i="2" s="1"/>
  <c r="L170" i="2" a="1"/>
  <c r="L170" i="2" s="1"/>
  <c r="L171" i="2" a="1"/>
  <c r="L171" i="2"/>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c r="L200" i="2" a="1"/>
  <c r="L200" i="2" s="1"/>
  <c r="L201" i="2" a="1"/>
  <c r="L201" i="2" s="1"/>
  <c r="L202" i="2" a="1"/>
  <c r="L202" i="2" s="1"/>
  <c r="L203" i="2" a="1"/>
  <c r="L203" i="2"/>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c r="L217" i="2" a="1"/>
  <c r="L217" i="2" s="1"/>
  <c r="L218" i="2" a="1"/>
  <c r="L218" i="2" s="1"/>
  <c r="L219" i="2" a="1"/>
  <c r="L219" i="2" s="1"/>
  <c r="L220" i="2" a="1"/>
  <c r="L220" i="2"/>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s="1"/>
  <c r="L501" i="2" a="1"/>
  <c r="L501" i="2" s="1"/>
  <c r="O2" i="2"/>
  <c r="O3" i="2"/>
  <c r="O4" i="2"/>
  <c r="O5" i="2"/>
  <c r="O6" i="2"/>
  <c r="O7" i="2"/>
  <c r="S7" i="2" s="1"/>
  <c r="T7" i="2" s="1"/>
  <c r="O8" i="2"/>
  <c r="O9" i="2"/>
  <c r="S9" i="2" s="1"/>
  <c r="T9" i="2" s="1"/>
  <c r="O10" i="2"/>
  <c r="O11" i="2"/>
  <c r="O12" i="2"/>
  <c r="O13" i="2"/>
  <c r="O14" i="2"/>
  <c r="O15" i="2"/>
  <c r="S15" i="2" s="1"/>
  <c r="T15" i="2" s="1"/>
  <c r="O16" i="2"/>
  <c r="O17" i="2"/>
  <c r="S17" i="2" s="1"/>
  <c r="T17" i="2" s="1"/>
  <c r="O18" i="2"/>
  <c r="O19" i="2"/>
  <c r="O20" i="2"/>
  <c r="O21" i="2"/>
  <c r="O22" i="2"/>
  <c r="O23" i="2"/>
  <c r="S23" i="2" s="1"/>
  <c r="T23" i="2" s="1"/>
  <c r="O24" i="2"/>
  <c r="O25" i="2"/>
  <c r="S25" i="2" s="1"/>
  <c r="O26" i="2"/>
  <c r="O27" i="2"/>
  <c r="O28" i="2"/>
  <c r="O29" i="2"/>
  <c r="O30" i="2"/>
  <c r="O31" i="2"/>
  <c r="S31" i="2" s="1"/>
  <c r="T31" i="2" s="1"/>
  <c r="O32" i="2"/>
  <c r="O33" i="2"/>
  <c r="S33" i="2" s="1"/>
  <c r="T33" i="2" s="1"/>
  <c r="O34" i="2"/>
  <c r="O35" i="2"/>
  <c r="O36" i="2"/>
  <c r="O37" i="2"/>
  <c r="O38" i="2"/>
  <c r="O39" i="2"/>
  <c r="O40" i="2"/>
  <c r="O41" i="2"/>
  <c r="O42" i="2"/>
  <c r="O43" i="2"/>
  <c r="O44" i="2"/>
  <c r="O45" i="2"/>
  <c r="O46" i="2"/>
  <c r="O47" i="2"/>
  <c r="S47" i="2" s="1"/>
  <c r="T47" i="2" s="1"/>
  <c r="O48" i="2"/>
  <c r="O49" i="2"/>
  <c r="S49" i="2" s="1"/>
  <c r="T49" i="2" s="1"/>
  <c r="O50" i="2"/>
  <c r="O51" i="2"/>
  <c r="O52" i="2"/>
  <c r="O53" i="2"/>
  <c r="O54" i="2"/>
  <c r="O55" i="2"/>
  <c r="O56" i="2"/>
  <c r="O57" i="2"/>
  <c r="S57" i="2" s="1"/>
  <c r="T57" i="2" s="1"/>
  <c r="O58" i="2"/>
  <c r="O59" i="2"/>
  <c r="O60" i="2"/>
  <c r="O61" i="2"/>
  <c r="O62" i="2"/>
  <c r="O63" i="2"/>
  <c r="S63" i="2" s="1"/>
  <c r="T63" i="2" s="1"/>
  <c r="O64" i="2"/>
  <c r="O65" i="2"/>
  <c r="O66" i="2"/>
  <c r="O67" i="2"/>
  <c r="O68" i="2"/>
  <c r="O69" i="2"/>
  <c r="O70" i="2"/>
  <c r="O71" i="2"/>
  <c r="S71" i="2" s="1"/>
  <c r="T71" i="2" s="1"/>
  <c r="O72" i="2"/>
  <c r="O73" i="2"/>
  <c r="S73" i="2" s="1"/>
  <c r="T73" i="2" s="1"/>
  <c r="O74" i="2"/>
  <c r="O75" i="2"/>
  <c r="O76" i="2"/>
  <c r="O77" i="2"/>
  <c r="O78" i="2"/>
  <c r="O79" i="2"/>
  <c r="S79" i="2" s="1"/>
  <c r="T79" i="2" s="1"/>
  <c r="O80" i="2"/>
  <c r="O81" i="2"/>
  <c r="S81" i="2" s="1"/>
  <c r="T81" i="2" s="1"/>
  <c r="O82" i="2"/>
  <c r="O83" i="2"/>
  <c r="O84" i="2"/>
  <c r="O85" i="2"/>
  <c r="O86" i="2"/>
  <c r="O87" i="2"/>
  <c r="S87" i="2" s="1"/>
  <c r="T87" i="2" s="1"/>
  <c r="O88" i="2"/>
  <c r="O89" i="2"/>
  <c r="S89" i="2" s="1"/>
  <c r="O90" i="2"/>
  <c r="O91" i="2"/>
  <c r="O92" i="2"/>
  <c r="O93" i="2"/>
  <c r="O94" i="2"/>
  <c r="O95" i="2"/>
  <c r="S95" i="2" s="1"/>
  <c r="T95" i="2" s="1"/>
  <c r="O96" i="2"/>
  <c r="O97" i="2"/>
  <c r="S97" i="2" s="1"/>
  <c r="T97" i="2" s="1"/>
  <c r="O98" i="2"/>
  <c r="O99" i="2"/>
  <c r="O100" i="2"/>
  <c r="O101" i="2"/>
  <c r="O102" i="2"/>
  <c r="O103" i="2"/>
  <c r="S103" i="2" s="1"/>
  <c r="T103" i="2" s="1"/>
  <c r="O104" i="2"/>
  <c r="O105" i="2"/>
  <c r="O106" i="2"/>
  <c r="O107" i="2"/>
  <c r="O108" i="2"/>
  <c r="O109" i="2"/>
  <c r="O110" i="2"/>
  <c r="O111" i="2"/>
  <c r="S111" i="2" s="1"/>
  <c r="T111" i="2" s="1"/>
  <c r="O112" i="2"/>
  <c r="O113" i="2"/>
  <c r="S113" i="2" s="1"/>
  <c r="T113" i="2" s="1"/>
  <c r="O114" i="2"/>
  <c r="O115" i="2"/>
  <c r="O116" i="2"/>
  <c r="O117" i="2"/>
  <c r="O118" i="2"/>
  <c r="O119" i="2"/>
  <c r="O120" i="2"/>
  <c r="O121" i="2"/>
  <c r="S121" i="2" s="1"/>
  <c r="T121" i="2" s="1"/>
  <c r="O122" i="2"/>
  <c r="O123" i="2"/>
  <c r="O124" i="2"/>
  <c r="O125" i="2"/>
  <c r="O126" i="2"/>
  <c r="O127" i="2"/>
  <c r="S127" i="2" s="1"/>
  <c r="T127" i="2" s="1"/>
  <c r="O128" i="2"/>
  <c r="O129" i="2"/>
  <c r="S129" i="2" s="1"/>
  <c r="T129" i="2" s="1"/>
  <c r="O130" i="2"/>
  <c r="O131" i="2"/>
  <c r="O132" i="2"/>
  <c r="O133" i="2"/>
  <c r="O134" i="2"/>
  <c r="O135" i="2"/>
  <c r="S135" i="2" s="1"/>
  <c r="T135" i="2" s="1"/>
  <c r="O136" i="2"/>
  <c r="O137" i="2"/>
  <c r="S137" i="2" s="1"/>
  <c r="T137" i="2" s="1"/>
  <c r="O138" i="2"/>
  <c r="O139" i="2"/>
  <c r="O140" i="2"/>
  <c r="O141" i="2"/>
  <c r="O142" i="2"/>
  <c r="O143" i="2"/>
  <c r="S143" i="2" s="1"/>
  <c r="T143" i="2" s="1"/>
  <c r="O144" i="2"/>
  <c r="O145" i="2"/>
  <c r="S145" i="2" s="1"/>
  <c r="T145" i="2" s="1"/>
  <c r="O146" i="2"/>
  <c r="O147" i="2"/>
  <c r="O148" i="2"/>
  <c r="O149" i="2"/>
  <c r="O150" i="2"/>
  <c r="O151" i="2"/>
  <c r="S151" i="2" s="1"/>
  <c r="T151" i="2" s="1"/>
  <c r="O152" i="2"/>
  <c r="O153" i="2"/>
  <c r="S153" i="2" s="1"/>
  <c r="T153" i="2" s="1"/>
  <c r="O154" i="2"/>
  <c r="O155" i="2"/>
  <c r="O156" i="2"/>
  <c r="O157" i="2"/>
  <c r="O158" i="2"/>
  <c r="O159" i="2"/>
  <c r="S159" i="2" s="1"/>
  <c r="T159" i="2" s="1"/>
  <c r="O160" i="2"/>
  <c r="O161" i="2"/>
  <c r="S161" i="2" s="1"/>
  <c r="T161" i="2" s="1"/>
  <c r="O162" i="2"/>
  <c r="O163" i="2"/>
  <c r="O164" i="2"/>
  <c r="O165" i="2"/>
  <c r="O166" i="2"/>
  <c r="O167" i="2"/>
  <c r="S167" i="2" s="1"/>
  <c r="T167" i="2" s="1"/>
  <c r="O168" i="2"/>
  <c r="O169" i="2"/>
  <c r="S169" i="2" s="1"/>
  <c r="T169" i="2" s="1"/>
  <c r="O170" i="2"/>
  <c r="O171" i="2"/>
  <c r="O172" i="2"/>
  <c r="O173" i="2"/>
  <c r="O174" i="2"/>
  <c r="O175" i="2"/>
  <c r="S175" i="2" s="1"/>
  <c r="T175" i="2" s="1"/>
  <c r="O176" i="2"/>
  <c r="O177" i="2"/>
  <c r="O178" i="2"/>
  <c r="O179" i="2"/>
  <c r="O180" i="2"/>
  <c r="O181" i="2"/>
  <c r="S181" i="2" s="1"/>
  <c r="T181" i="2" s="1"/>
  <c r="O182" i="2"/>
  <c r="O183" i="2"/>
  <c r="S183" i="2" s="1"/>
  <c r="T183" i="2" s="1"/>
  <c r="O184" i="2"/>
  <c r="O185" i="2"/>
  <c r="S185" i="2" s="1"/>
  <c r="T185" i="2" s="1"/>
  <c r="O186" i="2"/>
  <c r="O187" i="2"/>
  <c r="O188" i="2"/>
  <c r="O189" i="2"/>
  <c r="O190" i="2"/>
  <c r="O191" i="2"/>
  <c r="O192" i="2"/>
  <c r="O193" i="2"/>
  <c r="S193" i="2" s="1"/>
  <c r="T193" i="2" s="1"/>
  <c r="O194" i="2"/>
  <c r="O195" i="2"/>
  <c r="O196" i="2"/>
  <c r="O197" i="2"/>
  <c r="O198" i="2"/>
  <c r="O199" i="2"/>
  <c r="S199" i="2" s="1"/>
  <c r="T199" i="2" s="1"/>
  <c r="O200" i="2"/>
  <c r="O201" i="2"/>
  <c r="S201" i="2" s="1"/>
  <c r="T201" i="2" s="1"/>
  <c r="O202" i="2"/>
  <c r="O203" i="2"/>
  <c r="O204" i="2"/>
  <c r="O205" i="2"/>
  <c r="O206" i="2"/>
  <c r="O207" i="2"/>
  <c r="S207" i="2" s="1"/>
  <c r="T207" i="2" s="1"/>
  <c r="O208" i="2"/>
  <c r="O209" i="2"/>
  <c r="S209" i="2" s="1"/>
  <c r="T209" i="2" s="1"/>
  <c r="O210" i="2"/>
  <c r="O211" i="2"/>
  <c r="O212" i="2"/>
  <c r="O213" i="2"/>
  <c r="O214" i="2"/>
  <c r="O215" i="2"/>
  <c r="S215" i="2" s="1"/>
  <c r="T215" i="2" s="1"/>
  <c r="O216" i="2"/>
  <c r="O217" i="2"/>
  <c r="S217" i="2" s="1"/>
  <c r="T217" i="2" s="1"/>
  <c r="O218" i="2"/>
  <c r="O219" i="2"/>
  <c r="O220" i="2"/>
  <c r="O221" i="2"/>
  <c r="O222" i="2"/>
  <c r="O223" i="2"/>
  <c r="S223" i="2" s="1"/>
  <c r="T223" i="2" s="1"/>
  <c r="O224" i="2"/>
  <c r="O225" i="2"/>
  <c r="S225" i="2" s="1"/>
  <c r="T225" i="2" s="1"/>
  <c r="O226" i="2"/>
  <c r="O227" i="2"/>
  <c r="O228" i="2"/>
  <c r="O229" i="2"/>
  <c r="O230" i="2"/>
  <c r="O231" i="2"/>
  <c r="S231" i="2" s="1"/>
  <c r="T231" i="2" s="1"/>
  <c r="O232" i="2"/>
  <c r="O233" i="2"/>
  <c r="S233" i="2" s="1"/>
  <c r="T233" i="2" s="1"/>
  <c r="O234" i="2"/>
  <c r="O235" i="2"/>
  <c r="O236" i="2"/>
  <c r="O237" i="2"/>
  <c r="O238" i="2"/>
  <c r="O239" i="2"/>
  <c r="S239" i="2" s="1"/>
  <c r="T239" i="2" s="1"/>
  <c r="O240" i="2"/>
  <c r="O241" i="2"/>
  <c r="S241" i="2" s="1"/>
  <c r="T241" i="2" s="1"/>
  <c r="O242" i="2"/>
  <c r="O243" i="2"/>
  <c r="O244" i="2"/>
  <c r="O245" i="2"/>
  <c r="O246" i="2"/>
  <c r="O247" i="2"/>
  <c r="S247" i="2" s="1"/>
  <c r="T247" i="2" s="1"/>
  <c r="O248" i="2"/>
  <c r="O249" i="2"/>
  <c r="S249" i="2" s="1"/>
  <c r="T249" i="2" s="1"/>
  <c r="O250" i="2"/>
  <c r="O251" i="2"/>
  <c r="O252" i="2"/>
  <c r="O253" i="2"/>
  <c r="O254" i="2"/>
  <c r="O255" i="2"/>
  <c r="S255" i="2" s="1"/>
  <c r="T255" i="2" s="1"/>
  <c r="O256" i="2"/>
  <c r="O257" i="2"/>
  <c r="O258" i="2"/>
  <c r="O259" i="2"/>
  <c r="O260" i="2"/>
  <c r="O261" i="2"/>
  <c r="O262" i="2"/>
  <c r="O263" i="2"/>
  <c r="S263" i="2" s="1"/>
  <c r="T263" i="2" s="1"/>
  <c r="O264" i="2"/>
  <c r="O265" i="2"/>
  <c r="S265" i="2" s="1"/>
  <c r="T265" i="2" s="1"/>
  <c r="O266" i="2"/>
  <c r="O267" i="2"/>
  <c r="O268" i="2"/>
  <c r="O269" i="2"/>
  <c r="O270" i="2"/>
  <c r="O271" i="2"/>
  <c r="S271" i="2" s="1"/>
  <c r="T271" i="2" s="1"/>
  <c r="O272" i="2"/>
  <c r="O273" i="2"/>
  <c r="S273" i="2" s="1"/>
  <c r="T273" i="2" s="1"/>
  <c r="O274" i="2"/>
  <c r="O275" i="2"/>
  <c r="O276" i="2"/>
  <c r="O277" i="2"/>
  <c r="O278" i="2"/>
  <c r="O279" i="2"/>
  <c r="S279" i="2" s="1"/>
  <c r="T279" i="2" s="1"/>
  <c r="O280" i="2"/>
  <c r="O281" i="2"/>
  <c r="S281" i="2" s="1"/>
  <c r="T281" i="2" s="1"/>
  <c r="O282" i="2"/>
  <c r="O283" i="2"/>
  <c r="O284" i="2"/>
  <c r="O285" i="2"/>
  <c r="O286" i="2"/>
  <c r="O287" i="2"/>
  <c r="S287" i="2" s="1"/>
  <c r="T287" i="2" s="1"/>
  <c r="O288" i="2"/>
  <c r="O289" i="2"/>
  <c r="S289" i="2" s="1"/>
  <c r="T289" i="2" s="1"/>
  <c r="O290" i="2"/>
  <c r="O291" i="2"/>
  <c r="O292" i="2"/>
  <c r="O293" i="2"/>
  <c r="O294" i="2"/>
  <c r="O295" i="2"/>
  <c r="S295" i="2" s="1"/>
  <c r="T295" i="2" s="1"/>
  <c r="O296" i="2"/>
  <c r="O297" i="2"/>
  <c r="S297" i="2" s="1"/>
  <c r="T297" i="2" s="1"/>
  <c r="O298" i="2"/>
  <c r="O299" i="2"/>
  <c r="O300" i="2"/>
  <c r="O301" i="2"/>
  <c r="O302" i="2"/>
  <c r="O303" i="2"/>
  <c r="S303" i="2" s="1"/>
  <c r="T303" i="2" s="1"/>
  <c r="O304" i="2"/>
  <c r="O305" i="2"/>
  <c r="S305" i="2" s="1"/>
  <c r="T305" i="2" s="1"/>
  <c r="O306" i="2"/>
  <c r="O307" i="2"/>
  <c r="O308" i="2"/>
  <c r="O309" i="2"/>
  <c r="O310" i="2"/>
  <c r="O311" i="2"/>
  <c r="S311" i="2" s="1"/>
  <c r="T311" i="2" s="1"/>
  <c r="O312" i="2"/>
  <c r="O313" i="2"/>
  <c r="S313" i="2" s="1"/>
  <c r="T313" i="2" s="1"/>
  <c r="O314" i="2"/>
  <c r="O315" i="2"/>
  <c r="O316" i="2"/>
  <c r="O317" i="2"/>
  <c r="O318" i="2"/>
  <c r="O319" i="2"/>
  <c r="S319" i="2" s="1"/>
  <c r="T319" i="2" s="1"/>
  <c r="O320" i="2"/>
  <c r="O321" i="2"/>
  <c r="O322" i="2"/>
  <c r="O323" i="2"/>
  <c r="O324" i="2"/>
  <c r="O325" i="2"/>
  <c r="O326" i="2"/>
  <c r="O327" i="2"/>
  <c r="S327" i="2" s="1"/>
  <c r="T327" i="2" s="1"/>
  <c r="O328" i="2"/>
  <c r="O329" i="2"/>
  <c r="S329" i="2" s="1"/>
  <c r="T329" i="2" s="1"/>
  <c r="O330" i="2"/>
  <c r="O331" i="2"/>
  <c r="O332" i="2"/>
  <c r="O333" i="2"/>
  <c r="O334" i="2"/>
  <c r="O335" i="2"/>
  <c r="S335" i="2" s="1"/>
  <c r="T335" i="2" s="1"/>
  <c r="O336" i="2"/>
  <c r="O337" i="2"/>
  <c r="S337" i="2" s="1"/>
  <c r="T337" i="2" s="1"/>
  <c r="O338" i="2"/>
  <c r="O339" i="2"/>
  <c r="O340" i="2"/>
  <c r="O341" i="2"/>
  <c r="O342" i="2"/>
  <c r="O343" i="2"/>
  <c r="S343" i="2" s="1"/>
  <c r="T343" i="2" s="1"/>
  <c r="O344" i="2"/>
  <c r="O345" i="2"/>
  <c r="S345" i="2" s="1"/>
  <c r="T345" i="2" s="1"/>
  <c r="O346" i="2"/>
  <c r="O347" i="2"/>
  <c r="O348" i="2"/>
  <c r="O349" i="2"/>
  <c r="O350" i="2"/>
  <c r="O351" i="2"/>
  <c r="S351" i="2" s="1"/>
  <c r="T351" i="2" s="1"/>
  <c r="O352" i="2"/>
  <c r="O353" i="2"/>
  <c r="S353" i="2" s="1"/>
  <c r="T353" i="2" s="1"/>
  <c r="O354" i="2"/>
  <c r="O355" i="2"/>
  <c r="O356" i="2"/>
  <c r="O357" i="2"/>
  <c r="O358" i="2"/>
  <c r="O359" i="2"/>
  <c r="S359" i="2" s="1"/>
  <c r="T359" i="2" s="1"/>
  <c r="O360" i="2"/>
  <c r="O361" i="2"/>
  <c r="S361" i="2" s="1"/>
  <c r="T361" i="2" s="1"/>
  <c r="O362" i="2"/>
  <c r="O363" i="2"/>
  <c r="O364" i="2"/>
  <c r="O365" i="2"/>
  <c r="O366" i="2"/>
  <c r="O367" i="2"/>
  <c r="S367" i="2" s="1"/>
  <c r="T367" i="2" s="1"/>
  <c r="O368" i="2"/>
  <c r="O369" i="2"/>
  <c r="S369" i="2" s="1"/>
  <c r="T369" i="2" s="1"/>
  <c r="O370" i="2"/>
  <c r="O371" i="2"/>
  <c r="O372" i="2"/>
  <c r="O373" i="2"/>
  <c r="O374" i="2"/>
  <c r="O375" i="2"/>
  <c r="S375" i="2" s="1"/>
  <c r="O376" i="2"/>
  <c r="O377" i="2"/>
  <c r="S377" i="2" s="1"/>
  <c r="T377" i="2" s="1"/>
  <c r="O378" i="2"/>
  <c r="O379" i="2"/>
  <c r="O380" i="2"/>
  <c r="O381" i="2"/>
  <c r="O382" i="2"/>
  <c r="O383" i="2"/>
  <c r="S383" i="2" s="1"/>
  <c r="O384" i="2"/>
  <c r="O385" i="2"/>
  <c r="O386" i="2"/>
  <c r="O387" i="2"/>
  <c r="O388" i="2"/>
  <c r="O389" i="2"/>
  <c r="O390" i="2"/>
  <c r="O391" i="2"/>
  <c r="S391" i="2" s="1"/>
  <c r="T391" i="2" s="1"/>
  <c r="O392" i="2"/>
  <c r="O393" i="2"/>
  <c r="S393" i="2" s="1"/>
  <c r="T393" i="2" s="1"/>
  <c r="O394" i="2"/>
  <c r="O395" i="2"/>
  <c r="O396" i="2"/>
  <c r="O397" i="2"/>
  <c r="O398" i="2"/>
  <c r="O399" i="2"/>
  <c r="S399" i="2" s="1"/>
  <c r="T399" i="2" s="1"/>
  <c r="O400" i="2"/>
  <c r="O401" i="2"/>
  <c r="S401" i="2" s="1"/>
  <c r="T401" i="2" s="1"/>
  <c r="O402" i="2"/>
  <c r="O403" i="2"/>
  <c r="O404" i="2"/>
  <c r="O405" i="2"/>
  <c r="O406" i="2"/>
  <c r="O407" i="2"/>
  <c r="S407" i="2" s="1"/>
  <c r="T407" i="2" s="1"/>
  <c r="O408" i="2"/>
  <c r="O409" i="2"/>
  <c r="S409" i="2" s="1"/>
  <c r="T409" i="2" s="1"/>
  <c r="O410" i="2"/>
  <c r="O411" i="2"/>
  <c r="O412" i="2"/>
  <c r="O413" i="2"/>
  <c r="O414" i="2"/>
  <c r="O415" i="2"/>
  <c r="S415" i="2" s="1"/>
  <c r="T415" i="2" s="1"/>
  <c r="O416" i="2"/>
  <c r="O417" i="2"/>
  <c r="S417" i="2" s="1"/>
  <c r="T417" i="2" s="1"/>
  <c r="O418" i="2"/>
  <c r="O419" i="2"/>
  <c r="O420" i="2"/>
  <c r="O421" i="2"/>
  <c r="O422" i="2"/>
  <c r="O423" i="2"/>
  <c r="S423" i="2" s="1"/>
  <c r="T423" i="2" s="1"/>
  <c r="O424" i="2"/>
  <c r="O425" i="2"/>
  <c r="S425" i="2" s="1"/>
  <c r="T425" i="2" s="1"/>
  <c r="O426" i="2"/>
  <c r="O427" i="2"/>
  <c r="O428" i="2"/>
  <c r="O429" i="2"/>
  <c r="O430" i="2"/>
  <c r="O431" i="2"/>
  <c r="S431" i="2" s="1"/>
  <c r="T431" i="2" s="1"/>
  <c r="O432" i="2"/>
  <c r="O433" i="2"/>
  <c r="S433" i="2" s="1"/>
  <c r="T433" i="2" s="1"/>
  <c r="O434" i="2"/>
  <c r="O435" i="2"/>
  <c r="O436" i="2"/>
  <c r="O437" i="2"/>
  <c r="O438" i="2"/>
  <c r="O439" i="2"/>
  <c r="S439" i="2" s="1"/>
  <c r="O440" i="2"/>
  <c r="O441" i="2"/>
  <c r="S441" i="2" s="1"/>
  <c r="T441" i="2" s="1"/>
  <c r="O442" i="2"/>
  <c r="O443" i="2"/>
  <c r="O444" i="2"/>
  <c r="O445" i="2"/>
  <c r="O446" i="2"/>
  <c r="O447" i="2"/>
  <c r="S447" i="2" s="1"/>
  <c r="O448" i="2"/>
  <c r="O449" i="2"/>
  <c r="O450" i="2"/>
  <c r="O451" i="2"/>
  <c r="O452" i="2"/>
  <c r="O453" i="2"/>
  <c r="O454" i="2"/>
  <c r="O455" i="2"/>
  <c r="S455" i="2" s="1"/>
  <c r="T455" i="2" s="1"/>
  <c r="O456" i="2"/>
  <c r="O457" i="2"/>
  <c r="S457" i="2" s="1"/>
  <c r="T457" i="2" s="1"/>
  <c r="O458" i="2"/>
  <c r="O459" i="2"/>
  <c r="O460" i="2"/>
  <c r="O461" i="2"/>
  <c r="O462" i="2"/>
  <c r="O463" i="2"/>
  <c r="S463" i="2" s="1"/>
  <c r="T463" i="2" s="1"/>
  <c r="O464" i="2"/>
  <c r="O465" i="2"/>
  <c r="S465" i="2" s="1"/>
  <c r="T465" i="2" s="1"/>
  <c r="O466" i="2"/>
  <c r="O467" i="2"/>
  <c r="O468" i="2"/>
  <c r="O469" i="2"/>
  <c r="O470" i="2"/>
  <c r="O471" i="2"/>
  <c r="S471" i="2" s="1"/>
  <c r="T471" i="2" s="1"/>
  <c r="O472" i="2"/>
  <c r="O473" i="2"/>
  <c r="S473" i="2" s="1"/>
  <c r="T473" i="2" s="1"/>
  <c r="O474" i="2"/>
  <c r="O475" i="2"/>
  <c r="O476" i="2"/>
  <c r="O477" i="2"/>
  <c r="O478" i="2"/>
  <c r="O479" i="2"/>
  <c r="S479" i="2" s="1"/>
  <c r="T479" i="2" s="1"/>
  <c r="O480" i="2"/>
  <c r="O481" i="2"/>
  <c r="S481" i="2" s="1"/>
  <c r="T481" i="2" s="1"/>
  <c r="O482" i="2"/>
  <c r="O483" i="2"/>
  <c r="O484" i="2"/>
  <c r="O485" i="2"/>
  <c r="O486" i="2"/>
  <c r="O487" i="2"/>
  <c r="S487" i="2" s="1"/>
  <c r="T487" i="2" s="1"/>
  <c r="O488" i="2"/>
  <c r="O489" i="2"/>
  <c r="S489" i="2" s="1"/>
  <c r="T489" i="2" s="1"/>
  <c r="O490" i="2"/>
  <c r="O491" i="2"/>
  <c r="O492" i="2"/>
  <c r="O493" i="2"/>
  <c r="O494" i="2"/>
  <c r="O495" i="2"/>
  <c r="S495" i="2" s="1"/>
  <c r="T495" i="2" s="1"/>
  <c r="O496" i="2"/>
  <c r="O497" i="2"/>
  <c r="S497" i="2" s="1"/>
  <c r="T497" i="2" s="1"/>
  <c r="O498" i="2"/>
  <c r="O499" i="2"/>
  <c r="O500" i="2"/>
  <c r="O501" i="2"/>
  <c r="R2" i="2"/>
  <c r="R3" i="2"/>
  <c r="S3" i="2" s="1"/>
  <c r="T3" i="2" s="1"/>
  <c r="R4" i="2"/>
  <c r="R5" i="2"/>
  <c r="R6" i="2"/>
  <c r="S6" i="2" s="1"/>
  <c r="R7" i="2"/>
  <c r="R8" i="2"/>
  <c r="R9" i="2"/>
  <c r="R10" i="2"/>
  <c r="R11" i="2"/>
  <c r="S11" i="2" s="1"/>
  <c r="T11" i="2" s="1"/>
  <c r="R12" i="2"/>
  <c r="R13" i="2"/>
  <c r="R14" i="2"/>
  <c r="S14" i="2" s="1"/>
  <c r="R15" i="2"/>
  <c r="R16" i="2"/>
  <c r="R17" i="2"/>
  <c r="R18" i="2"/>
  <c r="R19" i="2"/>
  <c r="S19" i="2" s="1"/>
  <c r="T19" i="2" s="1"/>
  <c r="R20" i="2"/>
  <c r="R21" i="2"/>
  <c r="S21" i="2" s="1"/>
  <c r="T21" i="2" s="1"/>
  <c r="R22" i="2"/>
  <c r="S22" i="2" s="1"/>
  <c r="R23" i="2"/>
  <c r="R24" i="2"/>
  <c r="R25" i="2"/>
  <c r="R26" i="2"/>
  <c r="R27" i="2"/>
  <c r="S27" i="2" s="1"/>
  <c r="T27" i="2" s="1"/>
  <c r="R28" i="2"/>
  <c r="R29" i="2"/>
  <c r="R30" i="2"/>
  <c r="S30" i="2" s="1"/>
  <c r="R31" i="2"/>
  <c r="R32" i="2"/>
  <c r="R33" i="2"/>
  <c r="R34" i="2"/>
  <c r="R35" i="2"/>
  <c r="S35" i="2" s="1"/>
  <c r="T35" i="2" s="1"/>
  <c r="R36" i="2"/>
  <c r="R37" i="2"/>
  <c r="R38" i="2"/>
  <c r="S38" i="2" s="1"/>
  <c r="R39" i="2"/>
  <c r="R40" i="2"/>
  <c r="R41" i="2"/>
  <c r="R42" i="2"/>
  <c r="R43" i="2"/>
  <c r="S43" i="2" s="1"/>
  <c r="T43" i="2" s="1"/>
  <c r="R44" i="2"/>
  <c r="R45" i="2"/>
  <c r="R46" i="2"/>
  <c r="S46" i="2" s="1"/>
  <c r="R47" i="2"/>
  <c r="R48" i="2"/>
  <c r="R49" i="2"/>
  <c r="R50" i="2"/>
  <c r="R51" i="2"/>
  <c r="S51" i="2" s="1"/>
  <c r="T51" i="2" s="1"/>
  <c r="R52" i="2"/>
  <c r="R53" i="2"/>
  <c r="S53" i="2" s="1"/>
  <c r="T53" i="2" s="1"/>
  <c r="R54" i="2"/>
  <c r="S54" i="2" s="1"/>
  <c r="R55" i="2"/>
  <c r="R56" i="2"/>
  <c r="R57" i="2"/>
  <c r="R58" i="2"/>
  <c r="R59" i="2"/>
  <c r="S59" i="2" s="1"/>
  <c r="T59" i="2" s="1"/>
  <c r="R60" i="2"/>
  <c r="R61" i="2"/>
  <c r="R62" i="2"/>
  <c r="S62" i="2" s="1"/>
  <c r="R63" i="2"/>
  <c r="R64" i="2"/>
  <c r="R65" i="2"/>
  <c r="R66" i="2"/>
  <c r="R67" i="2"/>
  <c r="S67" i="2" s="1"/>
  <c r="T67" i="2" s="1"/>
  <c r="R68" i="2"/>
  <c r="R69" i="2"/>
  <c r="R70" i="2"/>
  <c r="S70" i="2" s="1"/>
  <c r="R71" i="2"/>
  <c r="R72" i="2"/>
  <c r="R73" i="2"/>
  <c r="R74" i="2"/>
  <c r="R75" i="2"/>
  <c r="S75" i="2" s="1"/>
  <c r="T75" i="2" s="1"/>
  <c r="R76" i="2"/>
  <c r="R77" i="2"/>
  <c r="R78" i="2"/>
  <c r="S78" i="2" s="1"/>
  <c r="R79" i="2"/>
  <c r="R80" i="2"/>
  <c r="R81" i="2"/>
  <c r="R82" i="2"/>
  <c r="R83" i="2"/>
  <c r="S83" i="2" s="1"/>
  <c r="T83" i="2" s="1"/>
  <c r="R84" i="2"/>
  <c r="R85" i="2"/>
  <c r="S85" i="2" s="1"/>
  <c r="T85" i="2" s="1"/>
  <c r="R86" i="2"/>
  <c r="S86" i="2" s="1"/>
  <c r="R87" i="2"/>
  <c r="R88" i="2"/>
  <c r="R89" i="2"/>
  <c r="R90" i="2"/>
  <c r="R91" i="2"/>
  <c r="S91" i="2" s="1"/>
  <c r="T91" i="2" s="1"/>
  <c r="R92" i="2"/>
  <c r="R93" i="2"/>
  <c r="R94" i="2"/>
  <c r="S94" i="2" s="1"/>
  <c r="R95" i="2"/>
  <c r="R96" i="2"/>
  <c r="R97" i="2"/>
  <c r="R98" i="2"/>
  <c r="R99" i="2"/>
  <c r="S99" i="2" s="1"/>
  <c r="T99" i="2" s="1"/>
  <c r="R100" i="2"/>
  <c r="R101" i="2"/>
  <c r="R102" i="2"/>
  <c r="S102" i="2" s="1"/>
  <c r="R103" i="2"/>
  <c r="R104" i="2"/>
  <c r="R105" i="2"/>
  <c r="R106" i="2"/>
  <c r="R107" i="2"/>
  <c r="S107" i="2" s="1"/>
  <c r="T107" i="2" s="1"/>
  <c r="R108" i="2"/>
  <c r="R109" i="2"/>
  <c r="R110" i="2"/>
  <c r="S110" i="2" s="1"/>
  <c r="R111" i="2"/>
  <c r="R112" i="2"/>
  <c r="R113" i="2"/>
  <c r="R114" i="2"/>
  <c r="R115" i="2"/>
  <c r="S115" i="2" s="1"/>
  <c r="T115" i="2" s="1"/>
  <c r="R116" i="2"/>
  <c r="R117" i="2"/>
  <c r="S117" i="2" s="1"/>
  <c r="T117" i="2" s="1"/>
  <c r="R118" i="2"/>
  <c r="S118" i="2" s="1"/>
  <c r="R119" i="2"/>
  <c r="R120" i="2"/>
  <c r="R121" i="2"/>
  <c r="R122" i="2"/>
  <c r="R123" i="2"/>
  <c r="S123" i="2" s="1"/>
  <c r="T123" i="2" s="1"/>
  <c r="R124" i="2"/>
  <c r="R125" i="2"/>
  <c r="R126" i="2"/>
  <c r="S126" i="2" s="1"/>
  <c r="R127" i="2"/>
  <c r="R128" i="2"/>
  <c r="R129" i="2"/>
  <c r="R130" i="2"/>
  <c r="R131" i="2"/>
  <c r="S131" i="2" s="1"/>
  <c r="T131" i="2" s="1"/>
  <c r="R132" i="2"/>
  <c r="R133" i="2"/>
  <c r="R134" i="2"/>
  <c r="S134" i="2" s="1"/>
  <c r="R135" i="2"/>
  <c r="R136" i="2"/>
  <c r="R137" i="2"/>
  <c r="R138" i="2"/>
  <c r="R139" i="2"/>
  <c r="S139" i="2" s="1"/>
  <c r="T139" i="2" s="1"/>
  <c r="R140" i="2"/>
  <c r="R141" i="2"/>
  <c r="R142" i="2"/>
  <c r="S142" i="2" s="1"/>
  <c r="R143" i="2"/>
  <c r="R144" i="2"/>
  <c r="R145" i="2"/>
  <c r="R146" i="2"/>
  <c r="R147" i="2"/>
  <c r="S147" i="2" s="1"/>
  <c r="T147" i="2" s="1"/>
  <c r="R148" i="2"/>
  <c r="R149" i="2"/>
  <c r="R150" i="2"/>
  <c r="S150" i="2" s="1"/>
  <c r="R151" i="2"/>
  <c r="R152" i="2"/>
  <c r="R153" i="2"/>
  <c r="R154" i="2"/>
  <c r="R155" i="2"/>
  <c r="S155" i="2" s="1"/>
  <c r="T155" i="2" s="1"/>
  <c r="R156" i="2"/>
  <c r="R157" i="2"/>
  <c r="R158" i="2"/>
  <c r="S158" i="2" s="1"/>
  <c r="R159" i="2"/>
  <c r="R160" i="2"/>
  <c r="R161" i="2"/>
  <c r="R162" i="2"/>
  <c r="R163" i="2"/>
  <c r="S163" i="2" s="1"/>
  <c r="T163" i="2" s="1"/>
  <c r="R164" i="2"/>
  <c r="R165" i="2"/>
  <c r="R166" i="2"/>
  <c r="S166" i="2" s="1"/>
  <c r="R167" i="2"/>
  <c r="R168" i="2"/>
  <c r="R169" i="2"/>
  <c r="R170" i="2"/>
  <c r="R171" i="2"/>
  <c r="S171" i="2" s="1"/>
  <c r="T171" i="2" s="1"/>
  <c r="R172" i="2"/>
  <c r="R173" i="2"/>
  <c r="R174" i="2"/>
  <c r="S174" i="2" s="1"/>
  <c r="R175" i="2"/>
  <c r="R176" i="2"/>
  <c r="R177" i="2"/>
  <c r="R178" i="2"/>
  <c r="R179" i="2"/>
  <c r="S179" i="2" s="1"/>
  <c r="T179" i="2" s="1"/>
  <c r="R180" i="2"/>
  <c r="R181" i="2"/>
  <c r="R182" i="2"/>
  <c r="S182" i="2" s="1"/>
  <c r="R183" i="2"/>
  <c r="R184" i="2"/>
  <c r="R185" i="2"/>
  <c r="R186" i="2"/>
  <c r="R187" i="2"/>
  <c r="S187" i="2" s="1"/>
  <c r="T187" i="2" s="1"/>
  <c r="R188" i="2"/>
  <c r="R189" i="2"/>
  <c r="R190" i="2"/>
  <c r="S190" i="2" s="1"/>
  <c r="R191" i="2"/>
  <c r="R192" i="2"/>
  <c r="R193" i="2"/>
  <c r="R194" i="2"/>
  <c r="R195" i="2"/>
  <c r="S195" i="2" s="1"/>
  <c r="T195" i="2" s="1"/>
  <c r="R196" i="2"/>
  <c r="R197" i="2"/>
  <c r="R198" i="2"/>
  <c r="S198" i="2" s="1"/>
  <c r="R199" i="2"/>
  <c r="R200" i="2"/>
  <c r="R201" i="2"/>
  <c r="R202" i="2"/>
  <c r="R203" i="2"/>
  <c r="S203" i="2" s="1"/>
  <c r="T203" i="2" s="1"/>
  <c r="R204" i="2"/>
  <c r="R205" i="2"/>
  <c r="R206" i="2"/>
  <c r="S206" i="2" s="1"/>
  <c r="R207" i="2"/>
  <c r="R208" i="2"/>
  <c r="R209" i="2"/>
  <c r="R210" i="2"/>
  <c r="R211" i="2"/>
  <c r="S211" i="2" s="1"/>
  <c r="T211" i="2" s="1"/>
  <c r="R212" i="2"/>
  <c r="R213" i="2"/>
  <c r="R214" i="2"/>
  <c r="S214" i="2" s="1"/>
  <c r="R215" i="2"/>
  <c r="R216" i="2"/>
  <c r="R217" i="2"/>
  <c r="R218" i="2"/>
  <c r="R219" i="2"/>
  <c r="S219" i="2" s="1"/>
  <c r="T219" i="2" s="1"/>
  <c r="R220" i="2"/>
  <c r="R221" i="2"/>
  <c r="R222" i="2"/>
  <c r="S222" i="2" s="1"/>
  <c r="R223" i="2"/>
  <c r="R224" i="2"/>
  <c r="R225" i="2"/>
  <c r="R226" i="2"/>
  <c r="R227" i="2"/>
  <c r="S227" i="2" s="1"/>
  <c r="T227" i="2" s="1"/>
  <c r="R228" i="2"/>
  <c r="R229" i="2"/>
  <c r="R230" i="2"/>
  <c r="S230" i="2" s="1"/>
  <c r="R231" i="2"/>
  <c r="R232" i="2"/>
  <c r="R233" i="2"/>
  <c r="R234" i="2"/>
  <c r="R235" i="2"/>
  <c r="S235" i="2" s="1"/>
  <c r="T235" i="2" s="1"/>
  <c r="R236" i="2"/>
  <c r="R237" i="2"/>
  <c r="R238" i="2"/>
  <c r="S238" i="2" s="1"/>
  <c r="R239" i="2"/>
  <c r="R240" i="2"/>
  <c r="R241" i="2"/>
  <c r="R242" i="2"/>
  <c r="R243" i="2"/>
  <c r="S243" i="2" s="1"/>
  <c r="T243" i="2" s="1"/>
  <c r="R244" i="2"/>
  <c r="R245" i="2"/>
  <c r="R246" i="2"/>
  <c r="S246" i="2" s="1"/>
  <c r="R247" i="2"/>
  <c r="R248" i="2"/>
  <c r="R249" i="2"/>
  <c r="R250" i="2"/>
  <c r="R251" i="2"/>
  <c r="S251" i="2" s="1"/>
  <c r="T251" i="2" s="1"/>
  <c r="R252" i="2"/>
  <c r="R253" i="2"/>
  <c r="R254" i="2"/>
  <c r="S254" i="2" s="1"/>
  <c r="R255" i="2"/>
  <c r="R256" i="2"/>
  <c r="R257" i="2"/>
  <c r="R258" i="2"/>
  <c r="R259" i="2"/>
  <c r="S259" i="2" s="1"/>
  <c r="T259" i="2" s="1"/>
  <c r="R260" i="2"/>
  <c r="R261" i="2"/>
  <c r="S261" i="2" s="1"/>
  <c r="T261" i="2" s="1"/>
  <c r="R262" i="2"/>
  <c r="S262" i="2" s="1"/>
  <c r="R263" i="2"/>
  <c r="R264" i="2"/>
  <c r="R265" i="2"/>
  <c r="R266" i="2"/>
  <c r="R267" i="2"/>
  <c r="S267" i="2" s="1"/>
  <c r="T267" i="2" s="1"/>
  <c r="R268" i="2"/>
  <c r="R269" i="2"/>
  <c r="R270" i="2"/>
  <c r="S270" i="2" s="1"/>
  <c r="R271" i="2"/>
  <c r="R272" i="2"/>
  <c r="R273" i="2"/>
  <c r="R274" i="2"/>
  <c r="R275" i="2"/>
  <c r="S275" i="2" s="1"/>
  <c r="T275" i="2" s="1"/>
  <c r="R276" i="2"/>
  <c r="R277" i="2"/>
  <c r="R278" i="2"/>
  <c r="S278" i="2" s="1"/>
  <c r="R279" i="2"/>
  <c r="R280" i="2"/>
  <c r="R281" i="2"/>
  <c r="R282" i="2"/>
  <c r="R283" i="2"/>
  <c r="S283" i="2" s="1"/>
  <c r="T283" i="2" s="1"/>
  <c r="R284" i="2"/>
  <c r="R285" i="2"/>
  <c r="R286" i="2"/>
  <c r="S286" i="2" s="1"/>
  <c r="R287" i="2"/>
  <c r="R288" i="2"/>
  <c r="R289" i="2"/>
  <c r="R290" i="2"/>
  <c r="R291" i="2"/>
  <c r="S291" i="2" s="1"/>
  <c r="T291" i="2" s="1"/>
  <c r="R292" i="2"/>
  <c r="R293" i="2"/>
  <c r="R294" i="2"/>
  <c r="S294" i="2" s="1"/>
  <c r="R295" i="2"/>
  <c r="R296" i="2"/>
  <c r="R297" i="2"/>
  <c r="R298" i="2"/>
  <c r="R299" i="2"/>
  <c r="S299" i="2" s="1"/>
  <c r="T299" i="2" s="1"/>
  <c r="R300" i="2"/>
  <c r="R301" i="2"/>
  <c r="R302" i="2"/>
  <c r="S302" i="2" s="1"/>
  <c r="R303" i="2"/>
  <c r="R304" i="2"/>
  <c r="R305" i="2"/>
  <c r="R306" i="2"/>
  <c r="R307" i="2"/>
  <c r="S307" i="2" s="1"/>
  <c r="T307" i="2" s="1"/>
  <c r="R308" i="2"/>
  <c r="R309" i="2"/>
  <c r="R310" i="2"/>
  <c r="S310" i="2" s="1"/>
  <c r="R311" i="2"/>
  <c r="R312" i="2"/>
  <c r="R313" i="2"/>
  <c r="R314" i="2"/>
  <c r="R315" i="2"/>
  <c r="S315" i="2" s="1"/>
  <c r="T315" i="2" s="1"/>
  <c r="R316" i="2"/>
  <c r="R317" i="2"/>
  <c r="R318" i="2"/>
  <c r="S318" i="2" s="1"/>
  <c r="R319" i="2"/>
  <c r="R320" i="2"/>
  <c r="R321" i="2"/>
  <c r="R322" i="2"/>
  <c r="R323" i="2"/>
  <c r="S323" i="2" s="1"/>
  <c r="T323" i="2" s="1"/>
  <c r="R324" i="2"/>
  <c r="R325" i="2"/>
  <c r="S325" i="2" s="1"/>
  <c r="T325" i="2" s="1"/>
  <c r="R326" i="2"/>
  <c r="S326" i="2" s="1"/>
  <c r="R327" i="2"/>
  <c r="R328" i="2"/>
  <c r="R329" i="2"/>
  <c r="R330" i="2"/>
  <c r="R331" i="2"/>
  <c r="S331" i="2" s="1"/>
  <c r="T331" i="2" s="1"/>
  <c r="R332" i="2"/>
  <c r="R333" i="2"/>
  <c r="R334" i="2"/>
  <c r="S334" i="2" s="1"/>
  <c r="R335" i="2"/>
  <c r="R336" i="2"/>
  <c r="R337" i="2"/>
  <c r="R338" i="2"/>
  <c r="R339" i="2"/>
  <c r="S339" i="2" s="1"/>
  <c r="T339" i="2" s="1"/>
  <c r="R340" i="2"/>
  <c r="R341" i="2"/>
  <c r="R342" i="2"/>
  <c r="S342" i="2" s="1"/>
  <c r="R343" i="2"/>
  <c r="R344" i="2"/>
  <c r="R345" i="2"/>
  <c r="R346" i="2"/>
  <c r="R347" i="2"/>
  <c r="S347" i="2" s="1"/>
  <c r="T347" i="2" s="1"/>
  <c r="R348" i="2"/>
  <c r="R349" i="2"/>
  <c r="R350" i="2"/>
  <c r="S350" i="2" s="1"/>
  <c r="R351" i="2"/>
  <c r="R352" i="2"/>
  <c r="R353" i="2"/>
  <c r="R354" i="2"/>
  <c r="R355" i="2"/>
  <c r="S355" i="2" s="1"/>
  <c r="T355" i="2" s="1"/>
  <c r="R356" i="2"/>
  <c r="R357" i="2"/>
  <c r="R358" i="2"/>
  <c r="S358" i="2" s="1"/>
  <c r="R359" i="2"/>
  <c r="R360" i="2"/>
  <c r="R361" i="2"/>
  <c r="R362" i="2"/>
  <c r="R363" i="2"/>
  <c r="S363" i="2" s="1"/>
  <c r="T363" i="2" s="1"/>
  <c r="R364" i="2"/>
  <c r="R365" i="2"/>
  <c r="R366" i="2"/>
  <c r="S366" i="2" s="1"/>
  <c r="R367" i="2"/>
  <c r="R368" i="2"/>
  <c r="R369" i="2"/>
  <c r="R370" i="2"/>
  <c r="R371" i="2"/>
  <c r="S371" i="2" s="1"/>
  <c r="T371" i="2" s="1"/>
  <c r="R372" i="2"/>
  <c r="R373" i="2"/>
  <c r="R374" i="2"/>
  <c r="S374" i="2" s="1"/>
  <c r="R375" i="2"/>
  <c r="R376" i="2"/>
  <c r="R377" i="2"/>
  <c r="R378" i="2"/>
  <c r="R379" i="2"/>
  <c r="S379" i="2" s="1"/>
  <c r="T379" i="2" s="1"/>
  <c r="R380" i="2"/>
  <c r="R381" i="2"/>
  <c r="R382" i="2"/>
  <c r="S382" i="2" s="1"/>
  <c r="R383" i="2"/>
  <c r="R384" i="2"/>
  <c r="R385" i="2"/>
  <c r="R386" i="2"/>
  <c r="R387" i="2"/>
  <c r="S387" i="2" s="1"/>
  <c r="T387" i="2" s="1"/>
  <c r="R388" i="2"/>
  <c r="R389" i="2"/>
  <c r="S389" i="2" s="1"/>
  <c r="T389" i="2" s="1"/>
  <c r="R390" i="2"/>
  <c r="S390" i="2" s="1"/>
  <c r="R391" i="2"/>
  <c r="R392" i="2"/>
  <c r="R393" i="2"/>
  <c r="R394" i="2"/>
  <c r="R395" i="2"/>
  <c r="S395" i="2" s="1"/>
  <c r="T395" i="2" s="1"/>
  <c r="R396" i="2"/>
  <c r="R397" i="2"/>
  <c r="R398" i="2"/>
  <c r="S398" i="2" s="1"/>
  <c r="R399" i="2"/>
  <c r="R400" i="2"/>
  <c r="R401" i="2"/>
  <c r="R402" i="2"/>
  <c r="R403" i="2"/>
  <c r="S403" i="2" s="1"/>
  <c r="T403" i="2" s="1"/>
  <c r="R404" i="2"/>
  <c r="R405" i="2"/>
  <c r="R406" i="2"/>
  <c r="S406" i="2" s="1"/>
  <c r="R407" i="2"/>
  <c r="R408" i="2"/>
  <c r="R409" i="2"/>
  <c r="R410" i="2"/>
  <c r="R411" i="2"/>
  <c r="S411" i="2" s="1"/>
  <c r="T411" i="2" s="1"/>
  <c r="R412" i="2"/>
  <c r="R413" i="2"/>
  <c r="R414" i="2"/>
  <c r="S414" i="2" s="1"/>
  <c r="R415" i="2"/>
  <c r="R416" i="2"/>
  <c r="R417" i="2"/>
  <c r="R418" i="2"/>
  <c r="R419" i="2"/>
  <c r="S419" i="2" s="1"/>
  <c r="T419" i="2" s="1"/>
  <c r="R420" i="2"/>
  <c r="R421" i="2"/>
  <c r="R422" i="2"/>
  <c r="S422" i="2" s="1"/>
  <c r="R423" i="2"/>
  <c r="R424" i="2"/>
  <c r="R425" i="2"/>
  <c r="R426" i="2"/>
  <c r="R427" i="2"/>
  <c r="S427" i="2" s="1"/>
  <c r="T427" i="2" s="1"/>
  <c r="R428" i="2"/>
  <c r="R429" i="2"/>
  <c r="R430" i="2"/>
  <c r="S430" i="2" s="1"/>
  <c r="R431" i="2"/>
  <c r="R432" i="2"/>
  <c r="R433" i="2"/>
  <c r="R434" i="2"/>
  <c r="R435" i="2"/>
  <c r="S435" i="2" s="1"/>
  <c r="T435" i="2" s="1"/>
  <c r="R436" i="2"/>
  <c r="R437" i="2"/>
  <c r="R438" i="2"/>
  <c r="S438" i="2" s="1"/>
  <c r="R439" i="2"/>
  <c r="R440" i="2"/>
  <c r="R441" i="2"/>
  <c r="R442" i="2"/>
  <c r="R443" i="2"/>
  <c r="S443" i="2" s="1"/>
  <c r="T443" i="2" s="1"/>
  <c r="R444" i="2"/>
  <c r="R445" i="2"/>
  <c r="R446" i="2"/>
  <c r="S446" i="2" s="1"/>
  <c r="R447" i="2"/>
  <c r="R448" i="2"/>
  <c r="R449" i="2"/>
  <c r="R450" i="2"/>
  <c r="R451" i="2"/>
  <c r="S451" i="2" s="1"/>
  <c r="T451" i="2" s="1"/>
  <c r="R452" i="2"/>
  <c r="R453" i="2"/>
  <c r="S453" i="2" s="1"/>
  <c r="T453" i="2" s="1"/>
  <c r="R454" i="2"/>
  <c r="S454" i="2" s="1"/>
  <c r="R455" i="2"/>
  <c r="R456" i="2"/>
  <c r="R457" i="2"/>
  <c r="R458" i="2"/>
  <c r="R459" i="2"/>
  <c r="S459" i="2" s="1"/>
  <c r="T459" i="2" s="1"/>
  <c r="R460" i="2"/>
  <c r="R461" i="2"/>
  <c r="R462" i="2"/>
  <c r="S462" i="2" s="1"/>
  <c r="R463" i="2"/>
  <c r="R464" i="2"/>
  <c r="R465" i="2"/>
  <c r="R466" i="2"/>
  <c r="R467" i="2"/>
  <c r="S467" i="2" s="1"/>
  <c r="T467" i="2" s="1"/>
  <c r="R468" i="2"/>
  <c r="R469" i="2"/>
  <c r="R470" i="2"/>
  <c r="S470" i="2" s="1"/>
  <c r="R471" i="2"/>
  <c r="R472" i="2"/>
  <c r="R473" i="2"/>
  <c r="R474" i="2"/>
  <c r="R475" i="2"/>
  <c r="S475" i="2" s="1"/>
  <c r="T475" i="2" s="1"/>
  <c r="R476" i="2"/>
  <c r="R477" i="2"/>
  <c r="R478" i="2"/>
  <c r="S478" i="2" s="1"/>
  <c r="R479" i="2"/>
  <c r="R480" i="2"/>
  <c r="R481" i="2"/>
  <c r="R482" i="2"/>
  <c r="R483" i="2"/>
  <c r="S483" i="2" s="1"/>
  <c r="T483" i="2" s="1"/>
  <c r="R484" i="2"/>
  <c r="R485" i="2"/>
  <c r="R486" i="2"/>
  <c r="S486" i="2" s="1"/>
  <c r="R487" i="2"/>
  <c r="R488" i="2"/>
  <c r="R489" i="2"/>
  <c r="R490" i="2"/>
  <c r="R491" i="2"/>
  <c r="S491" i="2" s="1"/>
  <c r="T491" i="2" s="1"/>
  <c r="R492" i="2"/>
  <c r="R493" i="2"/>
  <c r="R494" i="2"/>
  <c r="S494" i="2" s="1"/>
  <c r="R495" i="2"/>
  <c r="R496" i="2"/>
  <c r="R497" i="2"/>
  <c r="R498" i="2"/>
  <c r="R499" i="2"/>
  <c r="S499" i="2" s="1"/>
  <c r="T499" i="2" s="1"/>
  <c r="R500" i="2"/>
  <c r="R501" i="2"/>
  <c r="S2" i="2"/>
  <c r="T2" i="2" s="1"/>
  <c r="S4" i="2"/>
  <c r="S8" i="2"/>
  <c r="S10" i="2"/>
  <c r="T10" i="2" s="1"/>
  <c r="S12" i="2"/>
  <c r="S16" i="2"/>
  <c r="S18" i="2"/>
  <c r="T18" i="2" s="1"/>
  <c r="S20" i="2"/>
  <c r="S24" i="2"/>
  <c r="S26" i="2"/>
  <c r="T26" i="2" s="1"/>
  <c r="S28" i="2"/>
  <c r="S32" i="2"/>
  <c r="S34" i="2"/>
  <c r="T34" i="2" s="1"/>
  <c r="S36" i="2"/>
  <c r="S39" i="2"/>
  <c r="T39" i="2" s="1"/>
  <c r="S40" i="2"/>
  <c r="S41" i="2"/>
  <c r="T41" i="2" s="1"/>
  <c r="S42" i="2"/>
  <c r="T42" i="2" s="1"/>
  <c r="S44" i="2"/>
  <c r="S48" i="2"/>
  <c r="S50" i="2"/>
  <c r="T50" i="2" s="1"/>
  <c r="S52" i="2"/>
  <c r="S55" i="2"/>
  <c r="T55" i="2" s="1"/>
  <c r="S56" i="2"/>
  <c r="S58" i="2"/>
  <c r="T58" i="2" s="1"/>
  <c r="S60" i="2"/>
  <c r="S64" i="2"/>
  <c r="S65" i="2"/>
  <c r="T65" i="2" s="1"/>
  <c r="S66" i="2"/>
  <c r="T66" i="2" s="1"/>
  <c r="S68" i="2"/>
  <c r="S72" i="2"/>
  <c r="S74" i="2"/>
  <c r="T74" i="2" s="1"/>
  <c r="S76" i="2"/>
  <c r="S80" i="2"/>
  <c r="S82" i="2"/>
  <c r="T82" i="2" s="1"/>
  <c r="S84" i="2"/>
  <c r="S88" i="2"/>
  <c r="S90" i="2"/>
  <c r="T90" i="2" s="1"/>
  <c r="S92" i="2"/>
  <c r="S96" i="2"/>
  <c r="S98" i="2"/>
  <c r="T98" i="2" s="1"/>
  <c r="S100" i="2"/>
  <c r="S104" i="2"/>
  <c r="S105" i="2"/>
  <c r="T105" i="2" s="1"/>
  <c r="S106" i="2"/>
  <c r="T106" i="2" s="1"/>
  <c r="S108" i="2"/>
  <c r="S112" i="2"/>
  <c r="S114" i="2"/>
  <c r="T114" i="2" s="1"/>
  <c r="S116" i="2"/>
  <c r="S119" i="2"/>
  <c r="T119" i="2" s="1"/>
  <c r="S120" i="2"/>
  <c r="S122" i="2"/>
  <c r="S124" i="2"/>
  <c r="S128" i="2"/>
  <c r="S130" i="2"/>
  <c r="S132" i="2"/>
  <c r="S136" i="2"/>
  <c r="S138" i="2"/>
  <c r="S140" i="2"/>
  <c r="S144" i="2"/>
  <c r="S146" i="2"/>
  <c r="S148" i="2"/>
  <c r="S149" i="2"/>
  <c r="S152" i="2"/>
  <c r="S154" i="2"/>
  <c r="S156" i="2"/>
  <c r="S160" i="2"/>
  <c r="S162" i="2"/>
  <c r="S164" i="2"/>
  <c r="S168" i="2"/>
  <c r="S170" i="2"/>
  <c r="S172" i="2"/>
  <c r="S176" i="2"/>
  <c r="S177" i="2"/>
  <c r="T177" i="2" s="1"/>
  <c r="S178" i="2"/>
  <c r="S180" i="2"/>
  <c r="S184" i="2"/>
  <c r="S186" i="2"/>
  <c r="S188" i="2"/>
  <c r="S191" i="2"/>
  <c r="T191" i="2" s="1"/>
  <c r="S192" i="2"/>
  <c r="S194" i="2"/>
  <c r="S196" i="2"/>
  <c r="S200" i="2"/>
  <c r="S202" i="2"/>
  <c r="T202" i="2" s="1"/>
  <c r="S204" i="2"/>
  <c r="S208" i="2"/>
  <c r="S210" i="2"/>
  <c r="S212" i="2"/>
  <c r="S213" i="2"/>
  <c r="S216" i="2"/>
  <c r="S218" i="2"/>
  <c r="S220" i="2"/>
  <c r="S224" i="2"/>
  <c r="S226" i="2"/>
  <c r="S228" i="2"/>
  <c r="S229" i="2"/>
  <c r="S232" i="2"/>
  <c r="S234" i="2"/>
  <c r="S236" i="2"/>
  <c r="S240" i="2"/>
  <c r="S242" i="2"/>
  <c r="S244" i="2"/>
  <c r="S248" i="2"/>
  <c r="S250" i="2"/>
  <c r="T250" i="2" s="1"/>
  <c r="S252" i="2"/>
  <c r="S256" i="2"/>
  <c r="S257" i="2"/>
  <c r="T257" i="2" s="1"/>
  <c r="S258" i="2"/>
  <c r="S260" i="2"/>
  <c r="S264" i="2"/>
  <c r="S266" i="2"/>
  <c r="T266" i="2" s="1"/>
  <c r="S268" i="2"/>
  <c r="S269" i="2"/>
  <c r="T269" i="2" s="1"/>
  <c r="S272" i="2"/>
  <c r="S274" i="2"/>
  <c r="S276" i="2"/>
  <c r="S277" i="2"/>
  <c r="S280" i="2"/>
  <c r="S282" i="2"/>
  <c r="S284" i="2"/>
  <c r="S288" i="2"/>
  <c r="S290" i="2"/>
  <c r="S292" i="2"/>
  <c r="S293" i="2"/>
  <c r="S296" i="2"/>
  <c r="S298" i="2"/>
  <c r="S300" i="2"/>
  <c r="S304" i="2"/>
  <c r="S306" i="2"/>
  <c r="S308" i="2"/>
  <c r="S312" i="2"/>
  <c r="S314" i="2"/>
  <c r="T314" i="2" s="1"/>
  <c r="S316" i="2"/>
  <c r="S320" i="2"/>
  <c r="S321" i="2"/>
  <c r="T321" i="2" s="1"/>
  <c r="S322" i="2"/>
  <c r="S324" i="2"/>
  <c r="S328" i="2"/>
  <c r="S330" i="2"/>
  <c r="T330" i="2" s="1"/>
  <c r="S332" i="2"/>
  <c r="S333" i="2"/>
  <c r="T333" i="2" s="1"/>
  <c r="S336" i="2"/>
  <c r="S338" i="2"/>
  <c r="S340" i="2"/>
  <c r="S341" i="2"/>
  <c r="S344" i="2"/>
  <c r="S346" i="2"/>
  <c r="S348" i="2"/>
  <c r="S352" i="2"/>
  <c r="S354" i="2"/>
  <c r="S356" i="2"/>
  <c r="S357" i="2"/>
  <c r="T357" i="2" s="1"/>
  <c r="S360" i="2"/>
  <c r="S362" i="2"/>
  <c r="S364" i="2"/>
  <c r="S368" i="2"/>
  <c r="S370" i="2"/>
  <c r="T370" i="2" s="1"/>
  <c r="S372" i="2"/>
  <c r="S376" i="2"/>
  <c r="S378" i="2"/>
  <c r="T378" i="2" s="1"/>
  <c r="S380" i="2"/>
  <c r="T380" i="2" s="1"/>
  <c r="S384" i="2"/>
  <c r="S385" i="2"/>
  <c r="T385" i="2" s="1"/>
  <c r="S386" i="2"/>
  <c r="S388" i="2"/>
  <c r="T388" i="2" s="1"/>
  <c r="S392" i="2"/>
  <c r="S394" i="2"/>
  <c r="S396" i="2"/>
  <c r="S397" i="2"/>
  <c r="S400" i="2"/>
  <c r="S402" i="2"/>
  <c r="S404" i="2"/>
  <c r="S405" i="2"/>
  <c r="S408" i="2"/>
  <c r="S410" i="2"/>
  <c r="S412" i="2"/>
  <c r="S416" i="2"/>
  <c r="S418" i="2"/>
  <c r="S420" i="2"/>
  <c r="S421" i="2"/>
  <c r="T421" i="2" s="1"/>
  <c r="S424" i="2"/>
  <c r="S426" i="2"/>
  <c r="S428" i="2"/>
  <c r="S432" i="2"/>
  <c r="S434" i="2"/>
  <c r="T434" i="2" s="1"/>
  <c r="S436" i="2"/>
  <c r="S440" i="2"/>
  <c r="S442" i="2"/>
  <c r="T442" i="2" s="1"/>
  <c r="S444" i="2"/>
  <c r="T444" i="2" s="1"/>
  <c r="S448" i="2"/>
  <c r="S449" i="2"/>
  <c r="T449" i="2" s="1"/>
  <c r="S450" i="2"/>
  <c r="S452" i="2"/>
  <c r="T452" i="2" s="1"/>
  <c r="S456" i="2"/>
  <c r="S458" i="2"/>
  <c r="S460" i="2"/>
  <c r="S461" i="2"/>
  <c r="S464" i="2"/>
  <c r="S466" i="2"/>
  <c r="S468" i="2"/>
  <c r="S469" i="2"/>
  <c r="S472" i="2"/>
  <c r="S474" i="2"/>
  <c r="S476" i="2"/>
  <c r="S480" i="2"/>
  <c r="S482" i="2"/>
  <c r="S484" i="2"/>
  <c r="S485" i="2"/>
  <c r="T485" i="2" s="1"/>
  <c r="S488" i="2"/>
  <c r="S490" i="2"/>
  <c r="S492" i="2"/>
  <c r="S496" i="2"/>
  <c r="S498" i="2"/>
  <c r="T498" i="2" s="1"/>
  <c r="S500" i="2"/>
  <c r="T4" i="2"/>
  <c r="T6" i="2"/>
  <c r="T8" i="2"/>
  <c r="T12" i="2"/>
  <c r="T14" i="2"/>
  <c r="T16" i="2"/>
  <c r="T20" i="2"/>
  <c r="T22" i="2"/>
  <c r="T24" i="2"/>
  <c r="T25" i="2"/>
  <c r="T28" i="2"/>
  <c r="T30" i="2"/>
  <c r="T32" i="2"/>
  <c r="T36" i="2"/>
  <c r="T38" i="2"/>
  <c r="T40" i="2"/>
  <c r="T44" i="2"/>
  <c r="T46" i="2"/>
  <c r="T48" i="2"/>
  <c r="T52" i="2"/>
  <c r="T54" i="2"/>
  <c r="T56" i="2"/>
  <c r="T60" i="2"/>
  <c r="T62" i="2"/>
  <c r="T64" i="2"/>
  <c r="T68" i="2"/>
  <c r="T70" i="2"/>
  <c r="T72" i="2"/>
  <c r="T76" i="2"/>
  <c r="T78" i="2"/>
  <c r="T80" i="2"/>
  <c r="T84" i="2"/>
  <c r="T86" i="2"/>
  <c r="T88" i="2"/>
  <c r="T89" i="2"/>
  <c r="T92" i="2"/>
  <c r="T94" i="2"/>
  <c r="T96" i="2"/>
  <c r="T100" i="2"/>
  <c r="T102" i="2"/>
  <c r="T104" i="2"/>
  <c r="T108" i="2"/>
  <c r="T110" i="2"/>
  <c r="T112" i="2"/>
  <c r="T116" i="2"/>
  <c r="T118" i="2"/>
  <c r="T120" i="2"/>
  <c r="T122" i="2"/>
  <c r="T124" i="2"/>
  <c r="T126" i="2"/>
  <c r="T128" i="2"/>
  <c r="T130" i="2"/>
  <c r="T132" i="2"/>
  <c r="T134" i="2"/>
  <c r="T136" i="2"/>
  <c r="T138" i="2"/>
  <c r="T140" i="2"/>
  <c r="T142" i="2"/>
  <c r="T144" i="2"/>
  <c r="T146" i="2"/>
  <c r="T148" i="2"/>
  <c r="T149" i="2"/>
  <c r="T150" i="2"/>
  <c r="T152" i="2"/>
  <c r="T154" i="2"/>
  <c r="T156" i="2"/>
  <c r="T158" i="2"/>
  <c r="T160" i="2"/>
  <c r="T162" i="2"/>
  <c r="T164" i="2"/>
  <c r="T166" i="2"/>
  <c r="T168" i="2"/>
  <c r="T170" i="2"/>
  <c r="T172" i="2"/>
  <c r="T174" i="2"/>
  <c r="T176" i="2"/>
  <c r="T178" i="2"/>
  <c r="T180" i="2"/>
  <c r="T182" i="2"/>
  <c r="T184" i="2"/>
  <c r="T186" i="2"/>
  <c r="T188" i="2"/>
  <c r="T190" i="2"/>
  <c r="T192" i="2"/>
  <c r="T194" i="2"/>
  <c r="T196" i="2"/>
  <c r="T198" i="2"/>
  <c r="T200" i="2"/>
  <c r="T204" i="2"/>
  <c r="T206" i="2"/>
  <c r="T208" i="2"/>
  <c r="T210" i="2"/>
  <c r="T212" i="2"/>
  <c r="T213" i="2"/>
  <c r="T214" i="2"/>
  <c r="T216" i="2"/>
  <c r="T218" i="2"/>
  <c r="T220" i="2"/>
  <c r="T222" i="2"/>
  <c r="T224" i="2"/>
  <c r="T226" i="2"/>
  <c r="T228" i="2"/>
  <c r="T229" i="2"/>
  <c r="T230" i="2"/>
  <c r="T232" i="2"/>
  <c r="T234" i="2"/>
  <c r="T236" i="2"/>
  <c r="T238" i="2"/>
  <c r="T240" i="2"/>
  <c r="T242" i="2"/>
  <c r="T244" i="2"/>
  <c r="T246" i="2"/>
  <c r="T248" i="2"/>
  <c r="T252" i="2"/>
  <c r="T254" i="2"/>
  <c r="T256" i="2"/>
  <c r="T258" i="2"/>
  <c r="T260" i="2"/>
  <c r="T262" i="2"/>
  <c r="T264" i="2"/>
  <c r="T268" i="2"/>
  <c r="T270" i="2"/>
  <c r="T272" i="2"/>
  <c r="T274" i="2"/>
  <c r="T276" i="2"/>
  <c r="T277" i="2"/>
  <c r="T278" i="2"/>
  <c r="T280" i="2"/>
  <c r="T282" i="2"/>
  <c r="T284" i="2"/>
  <c r="T286" i="2"/>
  <c r="T288" i="2"/>
  <c r="T290" i="2"/>
  <c r="T292" i="2"/>
  <c r="T293" i="2"/>
  <c r="T294" i="2"/>
  <c r="T296" i="2"/>
  <c r="T298" i="2"/>
  <c r="T300" i="2"/>
  <c r="T302" i="2"/>
  <c r="T304" i="2"/>
  <c r="T306" i="2"/>
  <c r="T308" i="2"/>
  <c r="T310" i="2"/>
  <c r="T312" i="2"/>
  <c r="T316" i="2"/>
  <c r="T318" i="2"/>
  <c r="T320" i="2"/>
  <c r="T322" i="2"/>
  <c r="T324" i="2"/>
  <c r="T326" i="2"/>
  <c r="T328" i="2"/>
  <c r="T332" i="2"/>
  <c r="T334" i="2"/>
  <c r="T336" i="2"/>
  <c r="T338" i="2"/>
  <c r="T340" i="2"/>
  <c r="T341" i="2"/>
  <c r="T342" i="2"/>
  <c r="T344" i="2"/>
  <c r="T346" i="2"/>
  <c r="T348" i="2"/>
  <c r="T350" i="2"/>
  <c r="T352" i="2"/>
  <c r="T354" i="2"/>
  <c r="T356" i="2"/>
  <c r="T358" i="2"/>
  <c r="T360" i="2"/>
  <c r="T362" i="2"/>
  <c r="T364" i="2"/>
  <c r="T366" i="2"/>
  <c r="T368" i="2"/>
  <c r="T372" i="2"/>
  <c r="T374" i="2"/>
  <c r="T375" i="2"/>
  <c r="T376" i="2"/>
  <c r="T382" i="2"/>
  <c r="T383" i="2"/>
  <c r="T384" i="2"/>
  <c r="T386" i="2"/>
  <c r="T390" i="2"/>
  <c r="T392" i="2"/>
  <c r="T394" i="2"/>
  <c r="T396" i="2"/>
  <c r="T397" i="2"/>
  <c r="T398" i="2"/>
  <c r="T400" i="2"/>
  <c r="T402" i="2"/>
  <c r="T404" i="2"/>
  <c r="T405" i="2"/>
  <c r="T406" i="2"/>
  <c r="T408" i="2"/>
  <c r="T410" i="2"/>
  <c r="T412" i="2"/>
  <c r="T414" i="2"/>
  <c r="T416" i="2"/>
  <c r="T418" i="2"/>
  <c r="T420" i="2"/>
  <c r="T422" i="2"/>
  <c r="T424" i="2"/>
  <c r="T426" i="2"/>
  <c r="T428" i="2"/>
  <c r="T430" i="2"/>
  <c r="T432" i="2"/>
  <c r="T436" i="2"/>
  <c r="T438" i="2"/>
  <c r="T439" i="2"/>
  <c r="T440" i="2"/>
  <c r="T446" i="2"/>
  <c r="T447" i="2"/>
  <c r="T448" i="2"/>
  <c r="T450" i="2"/>
  <c r="T454" i="2"/>
  <c r="T456" i="2"/>
  <c r="T458" i="2"/>
  <c r="T460" i="2"/>
  <c r="T461" i="2"/>
  <c r="T462" i="2"/>
  <c r="T464" i="2"/>
  <c r="T466" i="2"/>
  <c r="T468" i="2"/>
  <c r="T469" i="2"/>
  <c r="T470" i="2"/>
  <c r="T472" i="2"/>
  <c r="T474" i="2"/>
  <c r="T476" i="2"/>
  <c r="T478" i="2"/>
  <c r="T480" i="2"/>
  <c r="T482" i="2"/>
  <c r="T484" i="2"/>
  <c r="T486" i="2"/>
  <c r="T488" i="2"/>
  <c r="T490" i="2"/>
  <c r="T492" i="2"/>
  <c r="T494" i="2"/>
  <c r="T496" i="2"/>
  <c r="T500" i="2"/>
  <c r="X2" i="2" a="1"/>
  <c r="X2" i="2" s="1"/>
  <c r="X3" i="2" a="1"/>
  <c r="X3" i="2" s="1"/>
  <c r="X4" i="2" a="1"/>
  <c r="X4" i="2" s="1"/>
  <c r="X5" i="2" a="1"/>
  <c r="X5" i="2" s="1"/>
  <c r="X6" i="2" a="1"/>
  <c r="X6" i="2" s="1"/>
  <c r="X7" i="2" a="1"/>
  <c r="X7" i="2" s="1"/>
  <c r="X8" i="2" a="1"/>
  <c r="X8" i="2"/>
  <c r="X9" i="2" a="1"/>
  <c r="X9" i="2" s="1"/>
  <c r="X10" i="2" a="1"/>
  <c r="X10" i="2" s="1"/>
  <c r="X11" i="2" a="1"/>
  <c r="X11" i="2" s="1"/>
  <c r="X12" i="2" a="1"/>
  <c r="X12" i="2"/>
  <c r="X13" i="2" a="1"/>
  <c r="X13" i="2" s="1"/>
  <c r="X14" i="2" a="1"/>
  <c r="X14" i="2" s="1"/>
  <c r="X15" i="2" a="1"/>
  <c r="X15" i="2" s="1"/>
  <c r="X16" i="2" a="1"/>
  <c r="X16" i="2" s="1"/>
  <c r="X17" i="2" a="1"/>
  <c r="X17" i="2" s="1"/>
  <c r="X18" i="2" a="1"/>
  <c r="X18" i="2" s="1"/>
  <c r="X19" i="2" a="1"/>
  <c r="X19" i="2" s="1"/>
  <c r="X20" i="2" a="1"/>
  <c r="X20" i="2"/>
  <c r="X21" i="2" a="1"/>
  <c r="X21" i="2" s="1"/>
  <c r="X22" i="2" a="1"/>
  <c r="X22" i="2" s="1"/>
  <c r="X23" i="2" a="1"/>
  <c r="X23" i="2" s="1"/>
  <c r="X24" i="2" a="1"/>
  <c r="X24" i="2"/>
  <c r="X25" i="2" a="1"/>
  <c r="X25" i="2" s="1"/>
  <c r="X26" i="2" a="1"/>
  <c r="X26" i="2"/>
  <c r="X27" i="2" a="1"/>
  <c r="X27" i="2" s="1"/>
  <c r="X28" i="2" a="1"/>
  <c r="X28" i="2" s="1"/>
  <c r="X29" i="2" a="1"/>
  <c r="X29" i="2" s="1"/>
  <c r="X30" i="2" a="1"/>
  <c r="X30" i="2" s="1"/>
  <c r="X31" i="2" a="1"/>
  <c r="X31" i="2" s="1"/>
  <c r="X32" i="2" a="1"/>
  <c r="X32" i="2" s="1"/>
  <c r="X33" i="2" a="1"/>
  <c r="X33" i="2" s="1"/>
  <c r="X34" i="2" a="1"/>
  <c r="X34" i="2" s="1"/>
  <c r="X35" i="2" a="1"/>
  <c r="X35" i="2" s="1"/>
  <c r="X36" i="2" a="1"/>
  <c r="X36" i="2" s="1"/>
  <c r="X37" i="2" a="1"/>
  <c r="X37" i="2" s="1"/>
  <c r="X38" i="2" a="1"/>
  <c r="X38" i="2" s="1"/>
  <c r="X39" i="2" a="1"/>
  <c r="X39" i="2" s="1"/>
  <c r="X40" i="2" a="1"/>
  <c r="X40" i="2"/>
  <c r="X41" i="2" a="1"/>
  <c r="X41" i="2" s="1"/>
  <c r="X42" i="2" a="1"/>
  <c r="X42" i="2" s="1"/>
  <c r="X43" i="2" a="1"/>
  <c r="X43" i="2" s="1"/>
  <c r="X44" i="2" a="1"/>
  <c r="X44" i="2" s="1"/>
  <c r="X45" i="2" a="1"/>
  <c r="X45" i="2" s="1"/>
  <c r="X46" i="2" a="1"/>
  <c r="X46" i="2" s="1"/>
  <c r="X47" i="2" a="1"/>
  <c r="X47" i="2" s="1"/>
  <c r="X48" i="2" a="1"/>
  <c r="X48" i="2" s="1"/>
  <c r="X49" i="2" a="1"/>
  <c r="X49" i="2"/>
  <c r="X50" i="2" a="1"/>
  <c r="X50" i="2" s="1"/>
  <c r="X51" i="2" a="1"/>
  <c r="X51" i="2" s="1"/>
  <c r="X52" i="2" a="1"/>
  <c r="X52" i="2"/>
  <c r="X53" i="2" a="1"/>
  <c r="X53" i="2" s="1"/>
  <c r="X54" i="2" a="1"/>
  <c r="X54" i="2" s="1"/>
  <c r="X55" i="2" a="1"/>
  <c r="X55" i="2" s="1"/>
  <c r="X56" i="2" a="1"/>
  <c r="X56" i="2" s="1"/>
  <c r="X57" i="2" a="1"/>
  <c r="X57" i="2" s="1"/>
  <c r="X58" i="2" a="1"/>
  <c r="X58" i="2"/>
  <c r="X59" i="2" a="1"/>
  <c r="X59" i="2" s="1"/>
  <c r="X60" i="2" a="1"/>
  <c r="X60" i="2" s="1"/>
  <c r="X61" i="2" a="1"/>
  <c r="X61" i="2" s="1"/>
  <c r="X62" i="2" a="1"/>
  <c r="X62" i="2"/>
  <c r="X63" i="2" a="1"/>
  <c r="X63" i="2"/>
  <c r="X64" i="2" a="1"/>
  <c r="X64" i="2"/>
  <c r="X65" i="2" a="1"/>
  <c r="X65" i="2" s="1"/>
  <c r="X66" i="2" a="1"/>
  <c r="X66" i="2" s="1"/>
  <c r="X67" i="2" a="1"/>
  <c r="X67" i="2"/>
  <c r="X68" i="2" a="1"/>
  <c r="X68" i="2" s="1"/>
  <c r="X69" i="2" a="1"/>
  <c r="X69" i="2" s="1"/>
  <c r="X70" i="2" a="1"/>
  <c r="X70" i="2" s="1"/>
  <c r="X71" i="2" a="1"/>
  <c r="X71" i="2" s="1"/>
  <c r="X72" i="2" a="1"/>
  <c r="X72" i="2" s="1"/>
  <c r="X73" i="2" a="1"/>
  <c r="X73" i="2" s="1"/>
  <c r="X74" i="2" a="1"/>
  <c r="X74" i="2"/>
  <c r="X75" i="2" a="1"/>
  <c r="X75" i="2"/>
  <c r="X76" i="2" a="1"/>
  <c r="X76" i="2"/>
  <c r="X77" i="2" a="1"/>
  <c r="X77" i="2" s="1"/>
  <c r="X78" i="2" a="1"/>
  <c r="X78" i="2" s="1"/>
  <c r="X79" i="2" a="1"/>
  <c r="X79" i="2" s="1"/>
  <c r="X80" i="2" a="1"/>
  <c r="X80" i="2" s="1"/>
  <c r="X81" i="2" a="1"/>
  <c r="X81" i="2" s="1"/>
  <c r="X82" i="2" a="1"/>
  <c r="X82" i="2"/>
  <c r="X83" i="2" a="1"/>
  <c r="X83" i="2"/>
  <c r="X84" i="2" a="1"/>
  <c r="X84" i="2"/>
  <c r="X85" i="2" a="1"/>
  <c r="X85" i="2" s="1"/>
  <c r="X86" i="2" a="1"/>
  <c r="X86" i="2"/>
  <c r="X87" i="2" a="1"/>
  <c r="X87" i="2" s="1"/>
  <c r="X88" i="2" a="1"/>
  <c r="X88" i="2" s="1"/>
  <c r="X89" i="2" a="1"/>
  <c r="X89" i="2" s="1"/>
  <c r="X90" i="2" a="1"/>
  <c r="X90" i="2"/>
  <c r="X91" i="2" a="1"/>
  <c r="X91" i="2"/>
  <c r="X92" i="2" a="1"/>
  <c r="X92" i="2"/>
  <c r="X93" i="2" a="1"/>
  <c r="X93" i="2" s="1"/>
  <c r="X94" i="2" a="1"/>
  <c r="X94" i="2" s="1"/>
  <c r="X95" i="2" a="1"/>
  <c r="X95" i="2"/>
  <c r="X96" i="2" a="1"/>
  <c r="X96" i="2" s="1"/>
  <c r="X97" i="2" a="1"/>
  <c r="X97" i="2" s="1"/>
  <c r="X98" i="2" a="1"/>
  <c r="X98" i="2"/>
  <c r="X99" i="2" a="1"/>
  <c r="X99" i="2"/>
  <c r="X100" i="2" a="1"/>
  <c r="X100" i="2"/>
  <c r="X101" i="2" a="1"/>
  <c r="X101" i="2" s="1"/>
  <c r="X102" i="2" a="1"/>
  <c r="X102" i="2" s="1"/>
  <c r="X103" i="2" a="1"/>
  <c r="X103" i="2" s="1"/>
  <c r="X104" i="2" a="1"/>
  <c r="X104" i="2"/>
  <c r="X105" i="2" a="1"/>
  <c r="X105" i="2" s="1"/>
  <c r="X106" i="2" a="1"/>
  <c r="X106" i="2"/>
  <c r="X107" i="2" a="1"/>
  <c r="X107" i="2"/>
  <c r="X108" i="2" a="1"/>
  <c r="X108" i="2"/>
  <c r="X109" i="2" a="1"/>
  <c r="X109" i="2" s="1"/>
  <c r="X110" i="2" a="1"/>
  <c r="X110" i="2" s="1"/>
  <c r="X111" i="2" a="1"/>
  <c r="X111" i="2" s="1"/>
  <c r="X112" i="2" a="1"/>
  <c r="X112" i="2" s="1"/>
  <c r="X113" i="2" a="1"/>
  <c r="X113" i="2" s="1"/>
  <c r="X114" i="2" a="1"/>
  <c r="X114" i="2"/>
  <c r="X115" i="2" a="1"/>
  <c r="X115" i="2"/>
  <c r="X116" i="2" a="1"/>
  <c r="X116" i="2"/>
  <c r="X117" i="2" a="1"/>
  <c r="X117" i="2" s="1"/>
  <c r="X118" i="2" a="1"/>
  <c r="X118" i="2"/>
  <c r="X119" i="2" a="1"/>
  <c r="X119" i="2" s="1"/>
  <c r="X120" i="2" a="1"/>
  <c r="X120" i="2" s="1"/>
  <c r="X121" i="2" a="1"/>
  <c r="X121" i="2" s="1"/>
  <c r="X122" i="2" a="1"/>
  <c r="X122" i="2"/>
  <c r="X123" i="2" a="1"/>
  <c r="X123" i="2"/>
  <c r="X124" i="2" a="1"/>
  <c r="X124" i="2"/>
  <c r="X125" i="2" a="1"/>
  <c r="X125" i="2" s="1"/>
  <c r="X126" i="2" a="1"/>
  <c r="X126" i="2" s="1"/>
  <c r="X127" i="2" a="1"/>
  <c r="X127" i="2"/>
  <c r="X128" i="2" a="1"/>
  <c r="X128" i="2" s="1"/>
  <c r="X129" i="2" a="1"/>
  <c r="X129" i="2" s="1"/>
  <c r="X130" i="2" a="1"/>
  <c r="X130" i="2"/>
  <c r="X131" i="2" a="1"/>
  <c r="X131" i="2"/>
  <c r="X132" i="2" a="1"/>
  <c r="X132" i="2"/>
  <c r="X133" i="2" a="1"/>
  <c r="X133" i="2" s="1"/>
  <c r="X134" i="2" a="1"/>
  <c r="X134" i="2" s="1"/>
  <c r="X135" i="2" a="1"/>
  <c r="X135" i="2" s="1"/>
  <c r="X136" i="2" a="1"/>
  <c r="X136" i="2"/>
  <c r="X137" i="2" a="1"/>
  <c r="X137" i="2" s="1"/>
  <c r="X138" i="2" a="1"/>
  <c r="X138" i="2"/>
  <c r="X139" i="2" a="1"/>
  <c r="X139" i="2"/>
  <c r="X140" i="2" a="1"/>
  <c r="X140" i="2"/>
  <c r="X141" i="2" a="1"/>
  <c r="X141" i="2" s="1"/>
  <c r="X142" i="2" a="1"/>
  <c r="X142" i="2" s="1"/>
  <c r="X143" i="2" a="1"/>
  <c r="X143" i="2" s="1"/>
  <c r="X144" i="2" a="1"/>
  <c r="X144" i="2" s="1"/>
  <c r="X145" i="2" a="1"/>
  <c r="X145" i="2" s="1"/>
  <c r="X146" i="2" a="1"/>
  <c r="X146" i="2"/>
  <c r="X147" i="2" a="1"/>
  <c r="X147" i="2"/>
  <c r="X148" i="2" a="1"/>
  <c r="X148" i="2"/>
  <c r="X149" i="2" a="1"/>
  <c r="X149" i="2" s="1"/>
  <c r="X150" i="2" a="1"/>
  <c r="X150" i="2"/>
  <c r="X151" i="2" a="1"/>
  <c r="X151" i="2" s="1"/>
  <c r="X152" i="2" a="1"/>
  <c r="X152" i="2" s="1"/>
  <c r="X153" i="2" a="1"/>
  <c r="X153" i="2" s="1"/>
  <c r="X154" i="2" a="1"/>
  <c r="X154" i="2"/>
  <c r="X155" i="2" a="1"/>
  <c r="X155" i="2"/>
  <c r="X156" i="2" a="1"/>
  <c r="X156" i="2"/>
  <c r="X157" i="2" a="1"/>
  <c r="X157" i="2" s="1"/>
  <c r="X158" i="2" a="1"/>
  <c r="X158" i="2" s="1"/>
  <c r="X159" i="2" a="1"/>
  <c r="X159" i="2" s="1"/>
  <c r="X160" i="2" a="1"/>
  <c r="X160" i="2" s="1"/>
  <c r="X161" i="2" a="1"/>
  <c r="X161" i="2" s="1"/>
  <c r="X162" i="2" a="1"/>
  <c r="X162" i="2"/>
  <c r="X163" i="2" a="1"/>
  <c r="X163" i="2"/>
  <c r="X164" i="2" a="1"/>
  <c r="X164" i="2"/>
  <c r="X165" i="2" a="1"/>
  <c r="X165" i="2" s="1"/>
  <c r="X166" i="2" a="1"/>
  <c r="X166" i="2" s="1"/>
  <c r="X167" i="2" a="1"/>
  <c r="X167" i="2" s="1"/>
  <c r="X168" i="2" a="1"/>
  <c r="X168" i="2"/>
  <c r="X169" i="2" a="1"/>
  <c r="X169" i="2" s="1"/>
  <c r="X170" i="2" a="1"/>
  <c r="X170" i="2"/>
  <c r="X171" i="2" a="1"/>
  <c r="X171" i="2"/>
  <c r="X172" i="2" a="1"/>
  <c r="X172" i="2"/>
  <c r="X173" i="2" a="1"/>
  <c r="X173" i="2" s="1"/>
  <c r="X174" i="2" a="1"/>
  <c r="X174" i="2" s="1"/>
  <c r="X175" i="2" a="1"/>
  <c r="X175" i="2" s="1"/>
  <c r="X176" i="2" a="1"/>
  <c r="X176" i="2" s="1"/>
  <c r="X177" i="2" a="1"/>
  <c r="X177" i="2" s="1"/>
  <c r="X178" i="2" a="1"/>
  <c r="X178" i="2"/>
  <c r="X179" i="2" a="1"/>
  <c r="X179" i="2"/>
  <c r="X180" i="2" a="1"/>
  <c r="X180" i="2"/>
  <c r="X181" i="2" a="1"/>
  <c r="X181" i="2" s="1"/>
  <c r="X182" i="2" a="1"/>
  <c r="X182" i="2"/>
  <c r="X183" i="2" a="1"/>
  <c r="X183" i="2" s="1"/>
  <c r="X184" i="2" a="1"/>
  <c r="X184" i="2" s="1"/>
  <c r="X185" i="2" a="1"/>
  <c r="X185" i="2" s="1"/>
  <c r="X186" i="2" a="1"/>
  <c r="X186" i="2"/>
  <c r="X187" i="2" a="1"/>
  <c r="X187" i="2"/>
  <c r="X188" i="2" a="1"/>
  <c r="X188" i="2"/>
  <c r="X189" i="2" a="1"/>
  <c r="X189" i="2" s="1"/>
  <c r="X190" i="2" a="1"/>
  <c r="X190" i="2" s="1"/>
  <c r="X191" i="2" a="1"/>
  <c r="X191" i="2"/>
  <c r="X192" i="2" a="1"/>
  <c r="X192" i="2" s="1"/>
  <c r="X193" i="2" a="1"/>
  <c r="X193" i="2" s="1"/>
  <c r="X194" i="2" a="1"/>
  <c r="X194" i="2"/>
  <c r="X195" i="2" a="1"/>
  <c r="X195" i="2"/>
  <c r="X196" i="2" a="1"/>
  <c r="X196" i="2"/>
  <c r="X197" i="2" a="1"/>
  <c r="X197" i="2" s="1"/>
  <c r="X198" i="2" a="1"/>
  <c r="X198" i="2" s="1"/>
  <c r="X199" i="2" a="1"/>
  <c r="X199" i="2" s="1"/>
  <c r="X200" i="2" a="1"/>
  <c r="X200" i="2"/>
  <c r="X201" i="2" a="1"/>
  <c r="X201" i="2" s="1"/>
  <c r="X202" i="2" a="1"/>
  <c r="X202" i="2"/>
  <c r="X203" i="2" a="1"/>
  <c r="X203" i="2"/>
  <c r="X204" i="2" a="1"/>
  <c r="X204" i="2"/>
  <c r="X205" i="2" a="1"/>
  <c r="X205" i="2" s="1"/>
  <c r="X206" i="2" a="1"/>
  <c r="X206" i="2" s="1"/>
  <c r="X207" i="2" a="1"/>
  <c r="X207" i="2" s="1"/>
  <c r="X208" i="2" a="1"/>
  <c r="X208" i="2" s="1"/>
  <c r="X209" i="2" a="1"/>
  <c r="X209" i="2" s="1"/>
  <c r="X210" i="2" a="1"/>
  <c r="X210" i="2"/>
  <c r="X211" i="2" a="1"/>
  <c r="X211" i="2"/>
  <c r="X212" i="2" a="1"/>
  <c r="X212" i="2"/>
  <c r="X213" i="2" a="1"/>
  <c r="X213" i="2" s="1"/>
  <c r="X214" i="2" a="1"/>
  <c r="X214" i="2"/>
  <c r="X215" i="2" a="1"/>
  <c r="X215" i="2" s="1"/>
  <c r="X216" i="2" a="1"/>
  <c r="X216" i="2" s="1"/>
  <c r="X217" i="2" a="1"/>
  <c r="X217" i="2" s="1"/>
  <c r="X218" i="2" a="1"/>
  <c r="X218" i="2"/>
  <c r="X219" i="2" a="1"/>
  <c r="X219" i="2" s="1"/>
  <c r="X220" i="2" a="1"/>
  <c r="X220" i="2" s="1"/>
  <c r="X221" i="2" a="1"/>
  <c r="X221" i="2" s="1"/>
  <c r="X222" i="2" a="1"/>
  <c r="X222" i="2"/>
  <c r="X223" i="2" a="1"/>
  <c r="X223" i="2" s="1"/>
  <c r="X224" i="2" a="1"/>
  <c r="X224" i="2"/>
  <c r="X225" i="2" a="1"/>
  <c r="X225" i="2" s="1"/>
  <c r="X226" i="2" a="1"/>
  <c r="X226" i="2"/>
  <c r="X227" i="2" a="1"/>
  <c r="X227" i="2" s="1"/>
  <c r="X228" i="2" a="1"/>
  <c r="X228" i="2" s="1"/>
  <c r="X229" i="2" a="1"/>
  <c r="X229" i="2" s="1"/>
  <c r="X230" i="2" a="1"/>
  <c r="X230" i="2"/>
  <c r="X231" i="2" a="1"/>
  <c r="X231" i="2" s="1"/>
  <c r="X232" i="2" a="1"/>
  <c r="X232" i="2" s="1"/>
  <c r="X233" i="2" a="1"/>
  <c r="X233" i="2" s="1"/>
  <c r="X234" i="2" a="1"/>
  <c r="X234" i="2"/>
  <c r="X235" i="2" a="1"/>
  <c r="X235" i="2" s="1"/>
  <c r="X236" i="2" a="1"/>
  <c r="X236" i="2" s="1"/>
  <c r="X237" i="2" a="1"/>
  <c r="X237" i="2" s="1"/>
  <c r="X238" i="2" a="1"/>
  <c r="X238" i="2"/>
  <c r="X239" i="2" a="1"/>
  <c r="X239" i="2" s="1"/>
  <c r="X240" i="2" a="1"/>
  <c r="X240" i="2"/>
  <c r="X241" i="2" a="1"/>
  <c r="X241" i="2" s="1"/>
  <c r="X242" i="2" a="1"/>
  <c r="X242" i="2"/>
  <c r="X243" i="2" a="1"/>
  <c r="X243" i="2" s="1"/>
  <c r="X244" i="2" a="1"/>
  <c r="X244" i="2" s="1"/>
  <c r="X245" i="2" a="1"/>
  <c r="X245" i="2" s="1"/>
  <c r="X246" i="2" a="1"/>
  <c r="X246" i="2"/>
  <c r="X247" i="2" a="1"/>
  <c r="X247" i="2" s="1"/>
  <c r="X248" i="2" a="1"/>
  <c r="X248" i="2" s="1"/>
  <c r="X249" i="2" a="1"/>
  <c r="X249" i="2" s="1"/>
  <c r="X250" i="2" a="1"/>
  <c r="X250" i="2"/>
  <c r="X251" i="2" a="1"/>
  <c r="X251" i="2" s="1"/>
  <c r="X252" i="2" a="1"/>
  <c r="X252" i="2" s="1"/>
  <c r="X253" i="2" a="1"/>
  <c r="X253" i="2" s="1"/>
  <c r="X254" i="2" a="1"/>
  <c r="X254" i="2"/>
  <c r="X255" i="2" a="1"/>
  <c r="X255" i="2" s="1"/>
  <c r="X256" i="2" a="1"/>
  <c r="X256" i="2"/>
  <c r="X257" i="2" a="1"/>
  <c r="X257" i="2" s="1"/>
  <c r="X258" i="2" a="1"/>
  <c r="X258" i="2"/>
  <c r="X259" i="2" a="1"/>
  <c r="X259" i="2" s="1"/>
  <c r="X260" i="2" a="1"/>
  <c r="X260" i="2" s="1"/>
  <c r="X261" i="2" a="1"/>
  <c r="X261" i="2" s="1"/>
  <c r="X262" i="2" a="1"/>
  <c r="X262" i="2"/>
  <c r="X263" i="2" a="1"/>
  <c r="X263" i="2" s="1"/>
  <c r="X264" i="2" a="1"/>
  <c r="X264" i="2" s="1"/>
  <c r="X265" i="2" a="1"/>
  <c r="X265" i="2" s="1"/>
  <c r="X266" i="2" a="1"/>
  <c r="X266" i="2"/>
  <c r="X267" i="2" a="1"/>
  <c r="X267" i="2" s="1"/>
  <c r="X268" i="2" a="1"/>
  <c r="X268" i="2" s="1"/>
  <c r="X269" i="2" a="1"/>
  <c r="X269" i="2" s="1"/>
  <c r="X270" i="2" a="1"/>
  <c r="X270" i="2"/>
  <c r="X271" i="2" a="1"/>
  <c r="X271" i="2" s="1"/>
  <c r="X272" i="2" a="1"/>
  <c r="X272" i="2"/>
  <c r="X273" i="2" a="1"/>
  <c r="X273" i="2" s="1"/>
  <c r="X274" i="2" a="1"/>
  <c r="X274" i="2"/>
  <c r="X275" i="2" a="1"/>
  <c r="X275" i="2" s="1"/>
  <c r="X276" i="2" a="1"/>
  <c r="X276" i="2" s="1"/>
  <c r="X277" i="2" a="1"/>
  <c r="X277" i="2" s="1"/>
  <c r="X278" i="2" a="1"/>
  <c r="X278" i="2"/>
  <c r="X279" i="2" a="1"/>
  <c r="X279" i="2" s="1"/>
  <c r="X280" i="2" a="1"/>
  <c r="X280" i="2" s="1"/>
  <c r="X281" i="2" a="1"/>
  <c r="X281" i="2" s="1"/>
  <c r="X282" i="2" a="1"/>
  <c r="X282" i="2"/>
  <c r="X283" i="2" a="1"/>
  <c r="X283" i="2" s="1"/>
  <c r="X284" i="2" a="1"/>
  <c r="X284" i="2" s="1"/>
  <c r="X285" i="2" a="1"/>
  <c r="X285" i="2" s="1"/>
  <c r="X286" i="2" a="1"/>
  <c r="X286" i="2"/>
  <c r="X287" i="2" a="1"/>
  <c r="X287" i="2" s="1"/>
  <c r="X288" i="2" a="1"/>
  <c r="X288" i="2"/>
  <c r="X289" i="2" a="1"/>
  <c r="X289" i="2" s="1"/>
  <c r="X290" i="2" a="1"/>
  <c r="X290" i="2"/>
  <c r="X291" i="2" a="1"/>
  <c r="X291" i="2" s="1"/>
  <c r="X292" i="2" a="1"/>
  <c r="X292" i="2" s="1"/>
  <c r="X293" i="2" a="1"/>
  <c r="X293" i="2" s="1"/>
  <c r="X294" i="2" a="1"/>
  <c r="X294" i="2"/>
  <c r="X295" i="2" a="1"/>
  <c r="X295" i="2" s="1"/>
  <c r="X296" i="2" a="1"/>
  <c r="X296" i="2" s="1"/>
  <c r="X297" i="2" a="1"/>
  <c r="X297" i="2" s="1"/>
  <c r="X298" i="2" a="1"/>
  <c r="X298" i="2"/>
  <c r="X299" i="2" a="1"/>
  <c r="X299" i="2" s="1"/>
  <c r="X300" i="2" a="1"/>
  <c r="X300" i="2" s="1"/>
  <c r="X301" i="2" a="1"/>
  <c r="X301" i="2" s="1"/>
  <c r="X302" i="2" a="1"/>
  <c r="X302" i="2"/>
  <c r="X303" i="2" a="1"/>
  <c r="X303" i="2" s="1"/>
  <c r="X304" i="2" a="1"/>
  <c r="X304" i="2" s="1"/>
  <c r="X305" i="2" a="1"/>
  <c r="X305" i="2" s="1"/>
  <c r="X306" i="2" a="1"/>
  <c r="X306" i="2"/>
  <c r="X307" i="2" a="1"/>
  <c r="X307" i="2" s="1"/>
  <c r="X308" i="2" a="1"/>
  <c r="X308" i="2" s="1"/>
  <c r="X309" i="2" a="1"/>
  <c r="X309" i="2" s="1"/>
  <c r="X310" i="2" a="1"/>
  <c r="X310" i="2"/>
  <c r="X311" i="2" a="1"/>
  <c r="X311" i="2" s="1"/>
  <c r="X312" i="2" a="1"/>
  <c r="X312" i="2" s="1"/>
  <c r="X313" i="2" a="1"/>
  <c r="X313" i="2" s="1"/>
  <c r="X314" i="2" a="1"/>
  <c r="X314" i="2"/>
  <c r="X315" i="2" a="1"/>
  <c r="X315" i="2" s="1"/>
  <c r="X316" i="2" a="1"/>
  <c r="X316" i="2" s="1"/>
  <c r="X317" i="2" a="1"/>
  <c r="X317" i="2" s="1"/>
  <c r="X318" i="2" a="1"/>
  <c r="X318" i="2"/>
  <c r="X319" i="2" a="1"/>
  <c r="X319" i="2" s="1"/>
  <c r="X320" i="2" a="1"/>
  <c r="X320" i="2"/>
  <c r="X321" i="2" a="1"/>
  <c r="X321" i="2" s="1"/>
  <c r="X322" i="2" a="1"/>
  <c r="X322" i="2"/>
  <c r="X323" i="2" a="1"/>
  <c r="X323" i="2" s="1"/>
  <c r="X324" i="2" a="1"/>
  <c r="X324" i="2" s="1"/>
  <c r="X325" i="2" a="1"/>
  <c r="X325" i="2" s="1"/>
  <c r="X326" i="2" a="1"/>
  <c r="X326" i="2"/>
  <c r="X327" i="2" a="1"/>
  <c r="X327" i="2" s="1"/>
  <c r="X328" i="2" a="1"/>
  <c r="X328" i="2" s="1"/>
  <c r="X329" i="2" a="1"/>
  <c r="X329" i="2" s="1"/>
  <c r="X330" i="2" a="1"/>
  <c r="X330" i="2"/>
  <c r="X331" i="2" a="1"/>
  <c r="X331" i="2" s="1"/>
  <c r="X332" i="2" a="1"/>
  <c r="X332" i="2" s="1"/>
  <c r="X333" i="2" a="1"/>
  <c r="X333" i="2" s="1"/>
  <c r="X334" i="2" a="1"/>
  <c r="X334" i="2"/>
  <c r="X335" i="2" a="1"/>
  <c r="X335" i="2" s="1"/>
  <c r="X336" i="2" a="1"/>
  <c r="X336" i="2" s="1"/>
  <c r="X337" i="2" a="1"/>
  <c r="X337" i="2" s="1"/>
  <c r="X338" i="2" a="1"/>
  <c r="X338" i="2"/>
  <c r="X339" i="2" a="1"/>
  <c r="X339" i="2" s="1"/>
  <c r="X340" i="2" a="1"/>
  <c r="X340" i="2" s="1"/>
  <c r="X341" i="2" a="1"/>
  <c r="X341" i="2" s="1"/>
  <c r="X342" i="2" a="1"/>
  <c r="X342" i="2"/>
  <c r="X343" i="2" a="1"/>
  <c r="X343" i="2" s="1"/>
  <c r="X344" i="2" a="1"/>
  <c r="X344" i="2" s="1"/>
  <c r="X345" i="2" a="1"/>
  <c r="X345" i="2" s="1"/>
  <c r="X346" i="2" a="1"/>
  <c r="X346" i="2"/>
  <c r="X347" i="2" a="1"/>
  <c r="X347" i="2" s="1"/>
  <c r="X348" i="2" a="1"/>
  <c r="X348" i="2" s="1"/>
  <c r="X349" i="2" a="1"/>
  <c r="X349" i="2" s="1"/>
  <c r="X350" i="2" a="1"/>
  <c r="X350" i="2"/>
  <c r="X351" i="2" a="1"/>
  <c r="X351" i="2" s="1"/>
  <c r="X352" i="2" a="1"/>
  <c r="X352" i="2"/>
  <c r="X353" i="2" a="1"/>
  <c r="X353" i="2" s="1"/>
  <c r="X354" i="2" a="1"/>
  <c r="X354" i="2"/>
  <c r="X355" i="2" a="1"/>
  <c r="X355" i="2" s="1"/>
  <c r="X356" i="2" a="1"/>
  <c r="X356" i="2" s="1"/>
  <c r="X357" i="2" a="1"/>
  <c r="X357" i="2" s="1"/>
  <c r="X358" i="2" a="1"/>
  <c r="X358" i="2"/>
  <c r="X359" i="2" a="1"/>
  <c r="X359" i="2" s="1"/>
  <c r="X360" i="2" a="1"/>
  <c r="X360" i="2" s="1"/>
  <c r="X361" i="2" a="1"/>
  <c r="X361" i="2" s="1"/>
  <c r="X362" i="2" a="1"/>
  <c r="X362" i="2"/>
  <c r="X363" i="2" a="1"/>
  <c r="X363" i="2" s="1"/>
  <c r="X364" i="2" a="1"/>
  <c r="X364" i="2" s="1"/>
  <c r="X365" i="2" a="1"/>
  <c r="X365" i="2" s="1"/>
  <c r="X366" i="2" a="1"/>
  <c r="X366" i="2"/>
  <c r="X367" i="2" a="1"/>
  <c r="X367" i="2" s="1"/>
  <c r="X368" i="2" a="1"/>
  <c r="X368" i="2" s="1"/>
  <c r="X369" i="2" a="1"/>
  <c r="X369" i="2" s="1"/>
  <c r="X370" i="2" a="1"/>
  <c r="X370" i="2"/>
  <c r="X371" i="2" a="1"/>
  <c r="X371" i="2" s="1"/>
  <c r="X372" i="2" a="1"/>
  <c r="X372" i="2" s="1"/>
  <c r="X373" i="2" a="1"/>
  <c r="X373" i="2" s="1"/>
  <c r="X374" i="2" a="1"/>
  <c r="X374" i="2"/>
  <c r="X375" i="2" a="1"/>
  <c r="X375" i="2" s="1"/>
  <c r="X376" i="2" a="1"/>
  <c r="X376" i="2" s="1"/>
  <c r="X377" i="2" a="1"/>
  <c r="X377" i="2" s="1"/>
  <c r="X378" i="2" a="1"/>
  <c r="X378" i="2"/>
  <c r="X379" i="2" a="1"/>
  <c r="X379" i="2" s="1"/>
  <c r="X380" i="2" a="1"/>
  <c r="X380" i="2" s="1"/>
  <c r="X381" i="2" a="1"/>
  <c r="X381" i="2" s="1"/>
  <c r="X382" i="2" a="1"/>
  <c r="X382" i="2"/>
  <c r="X383" i="2" a="1"/>
  <c r="X383" i="2" s="1"/>
  <c r="X384" i="2" a="1"/>
  <c r="X384" i="2"/>
  <c r="X385" i="2" a="1"/>
  <c r="X385" i="2" s="1"/>
  <c r="X386" i="2" a="1"/>
  <c r="X386" i="2"/>
  <c r="X387" i="2" a="1"/>
  <c r="X387" i="2" s="1"/>
  <c r="X388" i="2" a="1"/>
  <c r="X388" i="2" s="1"/>
  <c r="X389" i="2" a="1"/>
  <c r="X389" i="2" s="1"/>
  <c r="X390" i="2" a="1"/>
  <c r="X390" i="2"/>
  <c r="X391" i="2" a="1"/>
  <c r="X391" i="2" s="1"/>
  <c r="X392" i="2" a="1"/>
  <c r="X392" i="2" s="1"/>
  <c r="X393" i="2" a="1"/>
  <c r="X393" i="2" s="1"/>
  <c r="X394" i="2" a="1"/>
  <c r="X394" i="2"/>
  <c r="X395" i="2" a="1"/>
  <c r="X395" i="2" s="1"/>
  <c r="X396" i="2" a="1"/>
  <c r="X396" i="2" s="1"/>
  <c r="X397" i="2" a="1"/>
  <c r="X397" i="2" s="1"/>
  <c r="X398" i="2" a="1"/>
  <c r="X398" i="2"/>
  <c r="X399" i="2" a="1"/>
  <c r="X399" i="2" s="1"/>
  <c r="X400" i="2" a="1"/>
  <c r="X400" i="2"/>
  <c r="X401" i="2" a="1"/>
  <c r="X401" i="2" s="1"/>
  <c r="X402" i="2" a="1"/>
  <c r="X402" i="2"/>
  <c r="X403" i="2" a="1"/>
  <c r="X403" i="2" s="1"/>
  <c r="X404" i="2" a="1"/>
  <c r="X404" i="2" s="1"/>
  <c r="X405" i="2" a="1"/>
  <c r="X405" i="2" s="1"/>
  <c r="X406" i="2" a="1"/>
  <c r="X406" i="2"/>
  <c r="X407" i="2" a="1"/>
  <c r="X407" i="2" s="1"/>
  <c r="X408" i="2" a="1"/>
  <c r="X408" i="2" s="1"/>
  <c r="X409" i="2" a="1"/>
  <c r="X409" i="2" s="1"/>
  <c r="X410" i="2" a="1"/>
  <c r="X410" i="2"/>
  <c r="X411" i="2" a="1"/>
  <c r="X411" i="2" s="1"/>
  <c r="X412" i="2" a="1"/>
  <c r="X412" i="2" s="1"/>
  <c r="X413" i="2" a="1"/>
  <c r="X413" i="2" s="1"/>
  <c r="X414" i="2" a="1"/>
  <c r="X414" i="2"/>
  <c r="X415" i="2" a="1"/>
  <c r="X415" i="2" s="1"/>
  <c r="X416" i="2" a="1"/>
  <c r="X416" i="2"/>
  <c r="X417" i="2" a="1"/>
  <c r="X417" i="2" s="1"/>
  <c r="X418" i="2" a="1"/>
  <c r="X418" i="2"/>
  <c r="X419" i="2" a="1"/>
  <c r="X419" i="2" s="1"/>
  <c r="X420" i="2" a="1"/>
  <c r="X420" i="2" s="1"/>
  <c r="X421" i="2" a="1"/>
  <c r="X421" i="2" s="1"/>
  <c r="X422" i="2" a="1"/>
  <c r="X422" i="2"/>
  <c r="X423" i="2" a="1"/>
  <c r="X423" i="2" s="1"/>
  <c r="X424" i="2" a="1"/>
  <c r="X424" i="2" s="1"/>
  <c r="X425" i="2" a="1"/>
  <c r="X425" i="2" s="1"/>
  <c r="X426" i="2" a="1"/>
  <c r="X426" i="2"/>
  <c r="X427" i="2" a="1"/>
  <c r="X427" i="2" s="1"/>
  <c r="X428" i="2" a="1"/>
  <c r="X428" i="2" s="1"/>
  <c r="X429" i="2" a="1"/>
  <c r="X429" i="2" s="1"/>
  <c r="X430" i="2" a="1"/>
  <c r="X430" i="2"/>
  <c r="X431" i="2" a="1"/>
  <c r="X431" i="2" s="1"/>
  <c r="X432" i="2" a="1"/>
  <c r="X432" i="2"/>
  <c r="X433" i="2" a="1"/>
  <c r="X433" i="2" s="1"/>
  <c r="X434" i="2" a="1"/>
  <c r="X434" i="2"/>
  <c r="X435" i="2" a="1"/>
  <c r="X435" i="2" s="1"/>
  <c r="X436" i="2" a="1"/>
  <c r="X436" i="2" s="1"/>
  <c r="X437" i="2" a="1"/>
  <c r="X437" i="2" s="1"/>
  <c r="X438" i="2" a="1"/>
  <c r="X438" i="2"/>
  <c r="X439" i="2" a="1"/>
  <c r="X439" i="2" s="1"/>
  <c r="X440" i="2" a="1"/>
  <c r="X440" i="2" s="1"/>
  <c r="X441" i="2" a="1"/>
  <c r="X441" i="2" s="1"/>
  <c r="X442" i="2" a="1"/>
  <c r="X442" i="2"/>
  <c r="X443" i="2" a="1"/>
  <c r="X443" i="2" s="1"/>
  <c r="X444" i="2" a="1"/>
  <c r="X444" i="2" s="1"/>
  <c r="X445" i="2" a="1"/>
  <c r="X445" i="2" s="1"/>
  <c r="X446" i="2" a="1"/>
  <c r="X446" i="2"/>
  <c r="X447" i="2" a="1"/>
  <c r="X447" i="2" s="1"/>
  <c r="X448" i="2" a="1"/>
  <c r="X448" i="2"/>
  <c r="X449" i="2" a="1"/>
  <c r="X449" i="2" s="1"/>
  <c r="X450" i="2" a="1"/>
  <c r="X450" i="2"/>
  <c r="X451" i="2" a="1"/>
  <c r="X451" i="2" s="1"/>
  <c r="X452" i="2" a="1"/>
  <c r="X452" i="2" s="1"/>
  <c r="X453" i="2" a="1"/>
  <c r="X453" i="2" s="1"/>
  <c r="X454" i="2" a="1"/>
  <c r="X454" i="2"/>
  <c r="X455" i="2" a="1"/>
  <c r="X455" i="2" s="1"/>
  <c r="X456" i="2" a="1"/>
  <c r="X456" i="2" s="1"/>
  <c r="X457" i="2" a="1"/>
  <c r="X457" i="2" s="1"/>
  <c r="X458" i="2" a="1"/>
  <c r="X458" i="2" s="1"/>
  <c r="X459" i="2" a="1"/>
  <c r="X459" i="2" s="1"/>
  <c r="X460" i="2" a="1"/>
  <c r="X460" i="2" s="1"/>
  <c r="X461" i="2" a="1"/>
  <c r="X461" i="2" s="1"/>
  <c r="X462" i="2" a="1"/>
  <c r="X462" i="2" s="1"/>
  <c r="X463" i="2" a="1"/>
  <c r="X463" i="2" s="1"/>
  <c r="X464" i="2" a="1"/>
  <c r="X464" i="2" s="1"/>
  <c r="X465" i="2" a="1"/>
  <c r="X465" i="2" s="1"/>
  <c r="X466" i="2" a="1"/>
  <c r="X466" i="2" s="1"/>
  <c r="X467" i="2" a="1"/>
  <c r="X467" i="2" s="1"/>
  <c r="X468" i="2" a="1"/>
  <c r="X468" i="2" s="1"/>
  <c r="X469" i="2" a="1"/>
  <c r="X469" i="2" s="1"/>
  <c r="X470" i="2" a="1"/>
  <c r="X470" i="2" s="1"/>
  <c r="X471" i="2" a="1"/>
  <c r="X471" i="2" s="1"/>
  <c r="X472" i="2" a="1"/>
  <c r="X472" i="2" s="1"/>
  <c r="X473" i="2" a="1"/>
  <c r="X473" i="2" s="1"/>
  <c r="X474" i="2" a="1"/>
  <c r="X474" i="2" s="1"/>
  <c r="X475" i="2" a="1"/>
  <c r="X475" i="2" s="1"/>
  <c r="X476" i="2" a="1"/>
  <c r="X476" i="2" s="1"/>
  <c r="X477" i="2" a="1"/>
  <c r="X477" i="2" s="1"/>
  <c r="X478" i="2" a="1"/>
  <c r="X478" i="2" s="1"/>
  <c r="X479" i="2" a="1"/>
  <c r="X479" i="2" s="1"/>
  <c r="X480" i="2" a="1"/>
  <c r="X480" i="2" s="1"/>
  <c r="X481" i="2" a="1"/>
  <c r="X481" i="2" s="1"/>
  <c r="X482" i="2" a="1"/>
  <c r="X482" i="2" s="1"/>
  <c r="X483" i="2" a="1"/>
  <c r="X483" i="2" s="1"/>
  <c r="X484" i="2" a="1"/>
  <c r="X484" i="2" s="1"/>
  <c r="X485" i="2" a="1"/>
  <c r="X485" i="2" s="1"/>
  <c r="X486" i="2" a="1"/>
  <c r="X486" i="2" s="1"/>
  <c r="X487" i="2" a="1"/>
  <c r="X487" i="2" s="1"/>
  <c r="X488" i="2" a="1"/>
  <c r="X488" i="2" s="1"/>
  <c r="X489" i="2" a="1"/>
  <c r="X489" i="2" s="1"/>
  <c r="X490" i="2" a="1"/>
  <c r="X490" i="2" s="1"/>
  <c r="X491" i="2" a="1"/>
  <c r="X491" i="2" s="1"/>
  <c r="X492" i="2" a="1"/>
  <c r="X492" i="2" s="1"/>
  <c r="X493" i="2" a="1"/>
  <c r="X493" i="2" s="1"/>
  <c r="X494" i="2" a="1"/>
  <c r="X494" i="2" s="1"/>
  <c r="X495" i="2" a="1"/>
  <c r="X495" i="2" s="1"/>
  <c r="X496" i="2" a="1"/>
  <c r="X496" i="2" s="1"/>
  <c r="X497" i="2" a="1"/>
  <c r="X497" i="2" s="1"/>
  <c r="X498" i="2" a="1"/>
  <c r="X498" i="2" s="1"/>
  <c r="X499" i="2" a="1"/>
  <c r="X499" i="2" s="1"/>
  <c r="X500" i="2" a="1"/>
  <c r="X500" i="2" s="1"/>
  <c r="X501" i="2" a="1"/>
  <c r="X501" i="2" s="1"/>
  <c r="Q2" i="1" a="1"/>
  <c r="Q2" i="1" s="1"/>
  <c r="S501" i="2" l="1"/>
  <c r="T501" i="2" s="1"/>
  <c r="S493" i="2"/>
  <c r="T493" i="2" s="1"/>
  <c r="S477" i="2"/>
  <c r="T477" i="2" s="1"/>
  <c r="S445" i="2"/>
  <c r="T445" i="2" s="1"/>
  <c r="S437" i="2"/>
  <c r="T437" i="2" s="1"/>
  <c r="S429" i="2"/>
  <c r="T429" i="2" s="1"/>
  <c r="S413" i="2"/>
  <c r="T413" i="2" s="1"/>
  <c r="S381" i="2"/>
  <c r="T381" i="2" s="1"/>
  <c r="S373" i="2"/>
  <c r="T373" i="2" s="1"/>
  <c r="S365" i="2"/>
  <c r="T365" i="2" s="1"/>
  <c r="S349" i="2"/>
  <c r="T349" i="2" s="1"/>
  <c r="S317" i="2"/>
  <c r="T317" i="2" s="1"/>
  <c r="S309" i="2"/>
  <c r="T309" i="2" s="1"/>
  <c r="S301" i="2"/>
  <c r="T301" i="2" s="1"/>
  <c r="S285" i="2"/>
  <c r="T285" i="2" s="1"/>
  <c r="S253" i="2"/>
  <c r="T253" i="2" s="1"/>
  <c r="S245" i="2"/>
  <c r="T245" i="2" s="1"/>
  <c r="S237" i="2"/>
  <c r="T237" i="2" s="1"/>
  <c r="S221" i="2"/>
  <c r="T221" i="2" s="1"/>
  <c r="S205" i="2"/>
  <c r="T205" i="2" s="1"/>
  <c r="S197" i="2"/>
  <c r="T197" i="2" s="1"/>
  <c r="S189" i="2"/>
  <c r="T189" i="2" s="1"/>
  <c r="S173" i="2"/>
  <c r="T173" i="2" s="1"/>
  <c r="S165" i="2"/>
  <c r="T165" i="2" s="1"/>
  <c r="S157" i="2"/>
  <c r="T157" i="2" s="1"/>
  <c r="S141" i="2"/>
  <c r="T141" i="2" s="1"/>
  <c r="S133" i="2"/>
  <c r="T133" i="2" s="1"/>
  <c r="S125" i="2"/>
  <c r="T125" i="2" s="1"/>
  <c r="S109" i="2"/>
  <c r="T109" i="2" s="1"/>
  <c r="S101" i="2"/>
  <c r="T101" i="2" s="1"/>
  <c r="S93" i="2"/>
  <c r="T93" i="2" s="1"/>
  <c r="S77" i="2"/>
  <c r="T77" i="2" s="1"/>
  <c r="S69" i="2"/>
  <c r="T69" i="2" s="1"/>
  <c r="S61" i="2"/>
  <c r="T61" i="2" s="1"/>
  <c r="S45" i="2"/>
  <c r="T45" i="2" s="1"/>
  <c r="S37" i="2"/>
  <c r="T37" i="2" s="1"/>
  <c r="S29" i="2"/>
  <c r="T29" i="2" s="1"/>
  <c r="S13" i="2"/>
  <c r="T13" i="2" s="1"/>
  <c r="S5" i="2"/>
  <c r="T5" i="2" s="1"/>
  <c r="F2" i="2"/>
  <c r="F4" i="2"/>
  <c r="F5" i="2"/>
  <c r="F6" i="2"/>
  <c r="F8" i="2"/>
  <c r="F16" i="2"/>
  <c r="F24" i="2"/>
  <c r="F32" i="2"/>
  <c r="F40" i="2"/>
  <c r="F48" i="2"/>
  <c r="F56" i="2"/>
  <c r="F64" i="2"/>
  <c r="F72" i="2"/>
  <c r="F80" i="2"/>
  <c r="F88" i="2"/>
  <c r="F96" i="2"/>
  <c r="F104" i="2"/>
  <c r="F112" i="2"/>
  <c r="F120" i="2"/>
  <c r="F128" i="2"/>
  <c r="F136" i="2"/>
  <c r="F144" i="2"/>
  <c r="F152" i="2"/>
  <c r="F160" i="2"/>
  <c r="F168" i="2"/>
  <c r="F176" i="2"/>
  <c r="F184" i="2"/>
  <c r="F192" i="2"/>
  <c r="F200" i="2"/>
  <c r="F208" i="2"/>
  <c r="F216" i="2"/>
  <c r="F224" i="2"/>
  <c r="F232" i="2"/>
  <c r="F240" i="2"/>
  <c r="F248" i="2"/>
  <c r="F256" i="2"/>
  <c r="F264" i="2"/>
  <c r="F272" i="2"/>
  <c r="F280" i="2"/>
  <c r="F288" i="2"/>
  <c r="F296" i="2"/>
  <c r="F304" i="2"/>
  <c r="F312" i="2"/>
  <c r="F320" i="2"/>
  <c r="F328" i="2"/>
  <c r="F336" i="2"/>
  <c r="F344" i="2"/>
  <c r="F352" i="2"/>
  <c r="F360" i="2"/>
  <c r="F368" i="2"/>
  <c r="F376" i="2"/>
  <c r="F384" i="2"/>
  <c r="F392" i="2"/>
  <c r="F400" i="2"/>
  <c r="F408" i="2"/>
  <c r="F416" i="2"/>
  <c r="F424" i="2"/>
  <c r="F432" i="2"/>
  <c r="F440" i="2"/>
  <c r="F448" i="2"/>
  <c r="F456" i="2"/>
  <c r="F464" i="2"/>
  <c r="F472" i="2"/>
  <c r="F480" i="2"/>
  <c r="F488" i="2"/>
  <c r="F496" i="2"/>
  <c r="F9" i="2"/>
  <c r="F17" i="2"/>
  <c r="F25" i="2"/>
  <c r="F33" i="2"/>
  <c r="F41" i="2"/>
  <c r="F49" i="2"/>
  <c r="F57" i="2"/>
  <c r="F65" i="2"/>
  <c r="F73" i="2"/>
  <c r="F81" i="2"/>
  <c r="F89" i="2"/>
  <c r="F97" i="2"/>
  <c r="F105" i="2"/>
  <c r="F113" i="2"/>
  <c r="F121" i="2"/>
  <c r="F129" i="2"/>
  <c r="F137" i="2"/>
  <c r="F145" i="2"/>
  <c r="F153" i="2"/>
  <c r="F161" i="2"/>
  <c r="F169" i="2"/>
  <c r="F177" i="2"/>
  <c r="F185" i="2"/>
  <c r="F193" i="2"/>
  <c r="F201" i="2"/>
  <c r="F209" i="2"/>
  <c r="F217" i="2"/>
  <c r="F225" i="2"/>
  <c r="F233" i="2"/>
  <c r="F241" i="2"/>
  <c r="F249" i="2"/>
  <c r="F257" i="2"/>
  <c r="F265" i="2"/>
  <c r="F273" i="2"/>
  <c r="F281" i="2"/>
  <c r="F289" i="2"/>
  <c r="F297" i="2"/>
  <c r="F305" i="2"/>
  <c r="F313" i="2"/>
  <c r="F321" i="2"/>
  <c r="F329" i="2"/>
  <c r="F337" i="2"/>
  <c r="F345" i="2"/>
  <c r="F353" i="2"/>
  <c r="F361" i="2"/>
  <c r="F369" i="2"/>
  <c r="F377" i="2"/>
  <c r="F385" i="2"/>
  <c r="F393" i="2"/>
  <c r="F401" i="2"/>
  <c r="F409" i="2"/>
  <c r="F417" i="2"/>
  <c r="F425" i="2"/>
  <c r="F433" i="2"/>
  <c r="F441" i="2"/>
  <c r="F449" i="2"/>
  <c r="F457" i="2"/>
  <c r="F465" i="2"/>
  <c r="F473" i="2"/>
  <c r="F481" i="2"/>
  <c r="F489" i="2"/>
  <c r="F497" i="2"/>
  <c r="F3" i="2"/>
  <c r="F18" i="2"/>
  <c r="F28" i="2"/>
  <c r="F38" i="2"/>
  <c r="F50" i="2"/>
  <c r="F60" i="2"/>
  <c r="F70" i="2"/>
  <c r="F82" i="2"/>
  <c r="F92" i="2"/>
  <c r="F102" i="2"/>
  <c r="F114" i="2"/>
  <c r="F124" i="2"/>
  <c r="F134" i="2"/>
  <c r="F146" i="2"/>
  <c r="F156" i="2"/>
  <c r="F166" i="2"/>
  <c r="F178" i="2"/>
  <c r="F188" i="2"/>
  <c r="F198" i="2"/>
  <c r="F210" i="2"/>
  <c r="F220" i="2"/>
  <c r="F230" i="2"/>
  <c r="F242" i="2"/>
  <c r="F252" i="2"/>
  <c r="F262" i="2"/>
  <c r="F274" i="2"/>
  <c r="F284" i="2"/>
  <c r="F294" i="2"/>
  <c r="F306" i="2"/>
  <c r="F316" i="2"/>
  <c r="F326" i="2"/>
  <c r="F338" i="2"/>
  <c r="F348" i="2"/>
  <c r="F358" i="2"/>
  <c r="F370" i="2"/>
  <c r="F380" i="2"/>
  <c r="F390" i="2"/>
  <c r="F402" i="2"/>
  <c r="F412" i="2"/>
  <c r="F422" i="2"/>
  <c r="F434" i="2"/>
  <c r="F444" i="2"/>
  <c r="F454" i="2"/>
  <c r="F466" i="2"/>
  <c r="F476" i="2"/>
  <c r="F486" i="2"/>
  <c r="F498" i="2"/>
  <c r="F7" i="2"/>
  <c r="F19" i="2"/>
  <c r="F29" i="2"/>
  <c r="F39" i="2"/>
  <c r="F51" i="2"/>
  <c r="F61" i="2"/>
  <c r="F71" i="2"/>
  <c r="F83" i="2"/>
  <c r="F93" i="2"/>
  <c r="F103" i="2"/>
  <c r="F115" i="2"/>
  <c r="F125" i="2"/>
  <c r="F135" i="2"/>
  <c r="F147" i="2"/>
  <c r="F157" i="2"/>
  <c r="F167" i="2"/>
  <c r="F179" i="2"/>
  <c r="F189" i="2"/>
  <c r="F199" i="2"/>
  <c r="F211" i="2"/>
  <c r="F221" i="2"/>
  <c r="F231" i="2"/>
  <c r="F243" i="2"/>
  <c r="F253" i="2"/>
  <c r="F263" i="2"/>
  <c r="F275" i="2"/>
  <c r="F285" i="2"/>
  <c r="F295" i="2"/>
  <c r="F307" i="2"/>
  <c r="F317" i="2"/>
  <c r="F327" i="2"/>
  <c r="F339" i="2"/>
  <c r="F349" i="2"/>
  <c r="F359" i="2"/>
  <c r="F371" i="2"/>
  <c r="F381" i="2"/>
  <c r="F391" i="2"/>
  <c r="F403" i="2"/>
  <c r="F413" i="2"/>
  <c r="F423" i="2"/>
  <c r="F435" i="2"/>
  <c r="F445" i="2"/>
  <c r="F455" i="2"/>
  <c r="F467" i="2"/>
  <c r="F477" i="2"/>
  <c r="F487" i="2"/>
  <c r="F499" i="2"/>
  <c r="F10" i="2"/>
  <c r="F20" i="2"/>
  <c r="F30" i="2"/>
  <c r="F42" i="2"/>
  <c r="F52" i="2"/>
  <c r="F62" i="2"/>
  <c r="F74" i="2"/>
  <c r="F84" i="2"/>
  <c r="F94" i="2"/>
  <c r="F106" i="2"/>
  <c r="F116" i="2"/>
  <c r="F126" i="2"/>
  <c r="F138" i="2"/>
  <c r="F148" i="2"/>
  <c r="F158" i="2"/>
  <c r="F170" i="2"/>
  <c r="F180" i="2"/>
  <c r="F190" i="2"/>
  <c r="F202" i="2"/>
  <c r="F212" i="2"/>
  <c r="F222" i="2"/>
  <c r="F234" i="2"/>
  <c r="F244" i="2"/>
  <c r="F254" i="2"/>
  <c r="F266" i="2"/>
  <c r="F276" i="2"/>
  <c r="F286" i="2"/>
  <c r="F298" i="2"/>
  <c r="F308" i="2"/>
  <c r="F318" i="2"/>
  <c r="F330" i="2"/>
  <c r="F340" i="2"/>
  <c r="F350" i="2"/>
  <c r="F362" i="2"/>
  <c r="F372" i="2"/>
  <c r="F382" i="2"/>
  <c r="F394" i="2"/>
  <c r="F404" i="2"/>
  <c r="F414" i="2"/>
  <c r="F426" i="2"/>
  <c r="F436" i="2"/>
  <c r="F446" i="2"/>
  <c r="F458" i="2"/>
  <c r="F468" i="2"/>
  <c r="F478" i="2"/>
  <c r="F490" i="2"/>
  <c r="F500" i="2"/>
  <c r="F11" i="2"/>
  <c r="F21" i="2"/>
  <c r="F31" i="2"/>
  <c r="F43" i="2"/>
  <c r="F53" i="2"/>
  <c r="F63" i="2"/>
  <c r="F75" i="2"/>
  <c r="F85" i="2"/>
  <c r="F95" i="2"/>
  <c r="F107" i="2"/>
  <c r="F117" i="2"/>
  <c r="F127" i="2"/>
  <c r="F139" i="2"/>
  <c r="F149" i="2"/>
  <c r="F159" i="2"/>
  <c r="F171" i="2"/>
  <c r="F181" i="2"/>
  <c r="F191" i="2"/>
  <c r="F203" i="2"/>
  <c r="F213" i="2"/>
  <c r="F223" i="2"/>
  <c r="F235" i="2"/>
  <c r="F245" i="2"/>
  <c r="F255" i="2"/>
  <c r="F267" i="2"/>
  <c r="F277" i="2"/>
  <c r="F287" i="2"/>
  <c r="F299" i="2"/>
  <c r="F309" i="2"/>
  <c r="F319" i="2"/>
  <c r="F331" i="2"/>
  <c r="F341" i="2"/>
  <c r="F351" i="2"/>
  <c r="F363" i="2"/>
  <c r="F373" i="2"/>
  <c r="F383" i="2"/>
  <c r="F395" i="2"/>
  <c r="F405" i="2"/>
  <c r="F415" i="2"/>
  <c r="F427" i="2"/>
  <c r="F437" i="2"/>
  <c r="F447" i="2"/>
  <c r="F459" i="2"/>
  <c r="F469" i="2"/>
  <c r="F479" i="2"/>
  <c r="F491" i="2"/>
  <c r="F501" i="2"/>
  <c r="F12" i="2"/>
  <c r="F22" i="2"/>
  <c r="F34" i="2"/>
  <c r="F44" i="2"/>
  <c r="F54" i="2"/>
  <c r="F66" i="2"/>
  <c r="F76" i="2"/>
  <c r="F86" i="2"/>
  <c r="F98" i="2"/>
  <c r="F108" i="2"/>
  <c r="F118" i="2"/>
  <c r="F130" i="2"/>
  <c r="F140" i="2"/>
  <c r="F150" i="2"/>
  <c r="F162" i="2"/>
  <c r="F172" i="2"/>
  <c r="F182" i="2"/>
  <c r="F194" i="2"/>
  <c r="F204" i="2"/>
  <c r="F214" i="2"/>
  <c r="F226" i="2"/>
  <c r="F236" i="2"/>
  <c r="F246" i="2"/>
  <c r="F258" i="2"/>
  <c r="F268" i="2"/>
  <c r="F278" i="2"/>
  <c r="F290" i="2"/>
  <c r="F300" i="2"/>
  <c r="F310" i="2"/>
  <c r="F322" i="2"/>
  <c r="F332" i="2"/>
  <c r="F342" i="2"/>
  <c r="F354" i="2"/>
  <c r="F364" i="2"/>
  <c r="F374" i="2"/>
  <c r="F386" i="2"/>
  <c r="F396" i="2"/>
  <c r="F406" i="2"/>
  <c r="F418" i="2"/>
  <c r="F428" i="2"/>
  <c r="F438" i="2"/>
  <c r="F450" i="2"/>
  <c r="F460" i="2"/>
  <c r="F470" i="2"/>
  <c r="F482" i="2"/>
  <c r="F492" i="2"/>
  <c r="F13" i="2"/>
  <c r="F23" i="2"/>
  <c r="F35" i="2"/>
  <c r="F45" i="2"/>
  <c r="F55" i="2"/>
  <c r="F67" i="2"/>
  <c r="F77" i="2"/>
  <c r="F87" i="2"/>
  <c r="F99" i="2"/>
  <c r="F109" i="2"/>
  <c r="F119" i="2"/>
  <c r="F131" i="2"/>
  <c r="F141" i="2"/>
  <c r="F151" i="2"/>
  <c r="F163" i="2"/>
  <c r="F173" i="2"/>
  <c r="F183" i="2"/>
  <c r="F195" i="2"/>
  <c r="F205" i="2"/>
  <c r="F215" i="2"/>
  <c r="F227" i="2"/>
  <c r="F237" i="2"/>
  <c r="F247" i="2"/>
  <c r="F259" i="2"/>
  <c r="F269" i="2"/>
  <c r="F279" i="2"/>
  <c r="F291" i="2"/>
  <c r="F301" i="2"/>
  <c r="F311" i="2"/>
  <c r="F323" i="2"/>
  <c r="F333" i="2"/>
  <c r="F343" i="2"/>
  <c r="F355" i="2"/>
  <c r="F365" i="2"/>
  <c r="F375" i="2"/>
  <c r="F387" i="2"/>
  <c r="F397" i="2"/>
  <c r="F407" i="2"/>
  <c r="F419" i="2"/>
  <c r="F429" i="2"/>
  <c r="F439" i="2"/>
  <c r="F451" i="2"/>
  <c r="F461" i="2"/>
  <c r="F471" i="2"/>
  <c r="F483" i="2"/>
  <c r="F493" i="2"/>
  <c r="F14" i="2"/>
  <c r="F26" i="2"/>
  <c r="F36" i="2"/>
  <c r="F46" i="2"/>
  <c r="F58" i="2"/>
  <c r="F68" i="2"/>
  <c r="F78" i="2"/>
  <c r="F90" i="2"/>
  <c r="F100" i="2"/>
  <c r="F110" i="2"/>
  <c r="F122" i="2"/>
  <c r="F132" i="2"/>
  <c r="F142" i="2"/>
  <c r="F154" i="2"/>
  <c r="F164" i="2"/>
  <c r="F174" i="2"/>
  <c r="F186" i="2"/>
  <c r="F196" i="2"/>
  <c r="F206" i="2"/>
  <c r="F218" i="2"/>
  <c r="F228" i="2"/>
  <c r="F238" i="2"/>
  <c r="F250" i="2"/>
  <c r="F260" i="2"/>
  <c r="F270" i="2"/>
  <c r="F282" i="2"/>
  <c r="F292" i="2"/>
  <c r="F302" i="2"/>
  <c r="F314" i="2"/>
  <c r="F324" i="2"/>
  <c r="F334" i="2"/>
  <c r="F346" i="2"/>
  <c r="F356" i="2"/>
  <c r="F366" i="2"/>
  <c r="F378" i="2"/>
  <c r="F388" i="2"/>
  <c r="F398" i="2"/>
  <c r="F410" i="2"/>
  <c r="F420" i="2"/>
  <c r="F430" i="2"/>
  <c r="F442" i="2"/>
  <c r="F452" i="2"/>
  <c r="F462" i="2"/>
  <c r="F474" i="2"/>
  <c r="F484" i="2"/>
  <c r="F494" i="2"/>
  <c r="F15" i="2"/>
  <c r="F27" i="2"/>
  <c r="F37" i="2"/>
  <c r="F47" i="2"/>
  <c r="F59" i="2"/>
  <c r="F69" i="2"/>
  <c r="F79" i="2"/>
  <c r="F91" i="2"/>
  <c r="F101" i="2"/>
  <c r="F111" i="2"/>
  <c r="F123" i="2"/>
  <c r="F133" i="2"/>
  <c r="F143" i="2"/>
  <c r="F155" i="2"/>
  <c r="F165" i="2"/>
  <c r="F175" i="2"/>
  <c r="F187" i="2"/>
  <c r="F197" i="2"/>
  <c r="F207" i="2"/>
  <c r="F219" i="2"/>
  <c r="F229" i="2"/>
  <c r="F239" i="2"/>
  <c r="F251" i="2"/>
  <c r="F261" i="2"/>
  <c r="F271" i="2"/>
  <c r="F283" i="2"/>
  <c r="F293" i="2"/>
  <c r="F303" i="2"/>
  <c r="F315" i="2"/>
  <c r="F325" i="2"/>
  <c r="F335" i="2"/>
  <c r="F347" i="2"/>
  <c r="F357" i="2"/>
  <c r="F367" i="2"/>
  <c r="F379" i="2"/>
  <c r="F389" i="2"/>
  <c r="F399" i="2"/>
  <c r="F411" i="2"/>
  <c r="F421" i="2"/>
  <c r="F431" i="2"/>
  <c r="F443" i="2"/>
  <c r="F453" i="2"/>
  <c r="F463" i="2"/>
  <c r="F475" i="2"/>
  <c r="F485" i="2"/>
  <c r="F4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8A011A-C724-4CF3-953D-B36E37CE4B5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<sst xmlns="http://schemas.openxmlformats.org/spreadsheetml/2006/main" count="4659" uniqueCount="882">
  <si>
    <t>Flight_ID</t>
  </si>
  <si>
    <t>Date</t>
  </si>
  <si>
    <t>Route</t>
  </si>
  <si>
    <t>Aircraft_Type</t>
  </si>
  <si>
    <t>Passengers</t>
  </si>
  <si>
    <t>Seat_Capacity</t>
  </si>
  <si>
    <t>Load_Factor_%</t>
  </si>
  <si>
    <t>Ticket_Revenue_INR</t>
  </si>
  <si>
    <t>Cargo_Revenue_INR</t>
  </si>
  <si>
    <t>Fuel_Cost_INR</t>
  </si>
  <si>
    <t>Operating_Cost_INR</t>
  </si>
  <si>
    <t>Delay_Minutes</t>
  </si>
  <si>
    <t>On_Time</t>
  </si>
  <si>
    <t>Customer_Rating</t>
  </si>
  <si>
    <t>6E1002</t>
  </si>
  <si>
    <t>2025-05-04</t>
  </si>
  <si>
    <t>DEL-GOI</t>
  </si>
  <si>
    <t>ATR72-600</t>
  </si>
  <si>
    <t>No</t>
  </si>
  <si>
    <t>6E1003</t>
  </si>
  <si>
    <t>2025-06-29</t>
  </si>
  <si>
    <t>BLR-HYD</t>
  </si>
  <si>
    <t>6E1004</t>
  </si>
  <si>
    <t>2025-05-18</t>
  </si>
  <si>
    <t>A320neo</t>
  </si>
  <si>
    <t>6E1005</t>
  </si>
  <si>
    <t>2025-07-01</t>
  </si>
  <si>
    <t>6E1006</t>
  </si>
  <si>
    <t>2025-12-14</t>
  </si>
  <si>
    <t>CCU-DEL</t>
  </si>
  <si>
    <t>6E1007</t>
  </si>
  <si>
    <t>2025-03-04</t>
  </si>
  <si>
    <t>BLR-COK</t>
  </si>
  <si>
    <t>Yes</t>
  </si>
  <si>
    <t>6E1008</t>
  </si>
  <si>
    <t>2025-05-15</t>
  </si>
  <si>
    <t>DEL-BOM</t>
  </si>
  <si>
    <t>6E1009</t>
  </si>
  <si>
    <t>2025-09-09</t>
  </si>
  <si>
    <t>BLR-DEL</t>
  </si>
  <si>
    <t>6E1010</t>
  </si>
  <si>
    <t>2025-04-11</t>
  </si>
  <si>
    <t>BOM-HYD</t>
  </si>
  <si>
    <t>A321neo</t>
  </si>
  <si>
    <t>6E1011</t>
  </si>
  <si>
    <t>2025-06-20</t>
  </si>
  <si>
    <t>6E1012</t>
  </si>
  <si>
    <t>2025-12-17</t>
  </si>
  <si>
    <t>6E1013</t>
  </si>
  <si>
    <t>2025-10-19</t>
  </si>
  <si>
    <t>6E1014</t>
  </si>
  <si>
    <t>6E1015</t>
  </si>
  <si>
    <t>2025-07-04</t>
  </si>
  <si>
    <t>6E1016</t>
  </si>
  <si>
    <t>2025-11-16</t>
  </si>
  <si>
    <t>6E1017</t>
  </si>
  <si>
    <t>2025-11-04</t>
  </si>
  <si>
    <t>6E1018</t>
  </si>
  <si>
    <t>2025-05-19</t>
  </si>
  <si>
    <t>BLR-BOM</t>
  </si>
  <si>
    <t>6E1019</t>
  </si>
  <si>
    <t>2025-07-06</t>
  </si>
  <si>
    <t>6E1020</t>
  </si>
  <si>
    <t>2025-09-13</t>
  </si>
  <si>
    <t>6E1021</t>
  </si>
  <si>
    <t>2025-08-24</t>
  </si>
  <si>
    <t>6E1022</t>
  </si>
  <si>
    <t>2025-09-20</t>
  </si>
  <si>
    <t>6E1023</t>
  </si>
  <si>
    <t>2025-10-03</t>
  </si>
  <si>
    <t>6E1024</t>
  </si>
  <si>
    <t>2025-06-22</t>
  </si>
  <si>
    <t>6E1025</t>
  </si>
  <si>
    <t>2025-06-04</t>
  </si>
  <si>
    <t>6E1026</t>
  </si>
  <si>
    <t>2025-01-17</t>
  </si>
  <si>
    <t>MAA-DEL</t>
  </si>
  <si>
    <t>6E1027</t>
  </si>
  <si>
    <t>2025-12-23</t>
  </si>
  <si>
    <t>6E1028</t>
  </si>
  <si>
    <t>2025-10-01</t>
  </si>
  <si>
    <t>6E1029</t>
  </si>
  <si>
    <t>2025-11-22</t>
  </si>
  <si>
    <t>6E1030</t>
  </si>
  <si>
    <t>2025-07-30</t>
  </si>
  <si>
    <t>6E1031</t>
  </si>
  <si>
    <t>2025-08-02</t>
  </si>
  <si>
    <t>6E1032</t>
  </si>
  <si>
    <t>2025-08-13</t>
  </si>
  <si>
    <t>6E1033</t>
  </si>
  <si>
    <t>2025-02-21</t>
  </si>
  <si>
    <t>6E1034</t>
  </si>
  <si>
    <t>2025-05-28</t>
  </si>
  <si>
    <t>6E1035</t>
  </si>
  <si>
    <t>6E1036</t>
  </si>
  <si>
    <t>6E1037</t>
  </si>
  <si>
    <t>2025-10-27</t>
  </si>
  <si>
    <t>6E1038</t>
  </si>
  <si>
    <t>2025-06-11</t>
  </si>
  <si>
    <t>6E1039</t>
  </si>
  <si>
    <t>2025-07-07</t>
  </si>
  <si>
    <t>6E1040</t>
  </si>
  <si>
    <t>2025-07-03</t>
  </si>
  <si>
    <t>6E1041</t>
  </si>
  <si>
    <t>2025-08-03</t>
  </si>
  <si>
    <t>6E1042</t>
  </si>
  <si>
    <t>2025-04-28</t>
  </si>
  <si>
    <t>6E1043</t>
  </si>
  <si>
    <t>2025-01-13</t>
  </si>
  <si>
    <t>6E1044</t>
  </si>
  <si>
    <t>2025-10-14</t>
  </si>
  <si>
    <t>6E1045</t>
  </si>
  <si>
    <t>2025-06-12</t>
  </si>
  <si>
    <t>6E1046</t>
  </si>
  <si>
    <t>2025-03-07</t>
  </si>
  <si>
    <t>6E1047</t>
  </si>
  <si>
    <t>2025-11-08</t>
  </si>
  <si>
    <t>BLR-CCU</t>
  </si>
  <si>
    <t>6E1048</t>
  </si>
  <si>
    <t>2025-02-04</t>
  </si>
  <si>
    <t>6E1049</t>
  </si>
  <si>
    <t>2025-05-25</t>
  </si>
  <si>
    <t>6E1050</t>
  </si>
  <si>
    <t>2025-06-19</t>
  </si>
  <si>
    <t>6E1051</t>
  </si>
  <si>
    <t>2025-08-09</t>
  </si>
  <si>
    <t>6E1052</t>
  </si>
  <si>
    <t>2025-08-04</t>
  </si>
  <si>
    <t>6E1053</t>
  </si>
  <si>
    <t>2025-06-03</t>
  </si>
  <si>
    <t>6E1054</t>
  </si>
  <si>
    <t>6E1055</t>
  </si>
  <si>
    <t>2025-07-11</t>
  </si>
  <si>
    <t>6E1056</t>
  </si>
  <si>
    <t>2025-11-19</t>
  </si>
  <si>
    <t>6E1057</t>
  </si>
  <si>
    <t>2025-09-22</t>
  </si>
  <si>
    <t>6E1058</t>
  </si>
  <si>
    <t>2025-08-06</t>
  </si>
  <si>
    <t>6E1059</t>
  </si>
  <si>
    <t>2025-09-16</t>
  </si>
  <si>
    <t>6E1060</t>
  </si>
  <si>
    <t>6E1061</t>
  </si>
  <si>
    <t>2025-07-28</t>
  </si>
  <si>
    <t>6E1062</t>
  </si>
  <si>
    <t>2025-11-10</t>
  </si>
  <si>
    <t>6E1063</t>
  </si>
  <si>
    <t>2025-09-19</t>
  </si>
  <si>
    <t>6E1064</t>
  </si>
  <si>
    <t>2025-06-10</t>
  </si>
  <si>
    <t>6E1065</t>
  </si>
  <si>
    <t>2025-05-14</t>
  </si>
  <si>
    <t>6E1066</t>
  </si>
  <si>
    <t>6E1067</t>
  </si>
  <si>
    <t>2025-10-21</t>
  </si>
  <si>
    <t>6E1068</t>
  </si>
  <si>
    <t>2025-03-16</t>
  </si>
  <si>
    <t>6E1069</t>
  </si>
  <si>
    <t>6E1070</t>
  </si>
  <si>
    <t>2025-11-25</t>
  </si>
  <si>
    <t>6E1071</t>
  </si>
  <si>
    <t>6E1072</t>
  </si>
  <si>
    <t>2025-06-08</t>
  </si>
  <si>
    <t>6E1073</t>
  </si>
  <si>
    <t>6E1074</t>
  </si>
  <si>
    <t>2025-12-31</t>
  </si>
  <si>
    <t>6E1075</t>
  </si>
  <si>
    <t>2025-04-07</t>
  </si>
  <si>
    <t>6E1076</t>
  </si>
  <si>
    <t>2025-07-10</t>
  </si>
  <si>
    <t>6E1077</t>
  </si>
  <si>
    <t>2025-09-12</t>
  </si>
  <si>
    <t>6E1078</t>
  </si>
  <si>
    <t>2025-05-12</t>
  </si>
  <si>
    <t>6E1079</t>
  </si>
  <si>
    <t>2025-06-28</t>
  </si>
  <si>
    <t>6E1080</t>
  </si>
  <si>
    <t>2025-09-05</t>
  </si>
  <si>
    <t>6E1081</t>
  </si>
  <si>
    <t>6E1082</t>
  </si>
  <si>
    <t>2025-10-11</t>
  </si>
  <si>
    <t>6E1083</t>
  </si>
  <si>
    <t>2025-06-14</t>
  </si>
  <si>
    <t>6E1084</t>
  </si>
  <si>
    <t>2025-10-18</t>
  </si>
  <si>
    <t>6E1085</t>
  </si>
  <si>
    <t>6E1086</t>
  </si>
  <si>
    <t>2025-11-26</t>
  </si>
  <si>
    <t>6E1087</t>
  </si>
  <si>
    <t>2025-08-16</t>
  </si>
  <si>
    <t>6E1088</t>
  </si>
  <si>
    <t>2025-12-05</t>
  </si>
  <si>
    <t>6E1089</t>
  </si>
  <si>
    <t>2025-09-30</t>
  </si>
  <si>
    <t>6E1090</t>
  </si>
  <si>
    <t>2025-12-21</t>
  </si>
  <si>
    <t>6E1091</t>
  </si>
  <si>
    <t>2025-08-14</t>
  </si>
  <si>
    <t>6E1092</t>
  </si>
  <si>
    <t>2025-04-26</t>
  </si>
  <si>
    <t>6E1093</t>
  </si>
  <si>
    <t>6E1094</t>
  </si>
  <si>
    <t>2025-08-08</t>
  </si>
  <si>
    <t>6E1095</t>
  </si>
  <si>
    <t>2025-07-08</t>
  </si>
  <si>
    <t>6E1096</t>
  </si>
  <si>
    <t>2025-04-30</t>
  </si>
  <si>
    <t>6E1097</t>
  </si>
  <si>
    <t>6E1098</t>
  </si>
  <si>
    <t>2025-02-25</t>
  </si>
  <si>
    <t>6E1099</t>
  </si>
  <si>
    <t>2025-02-07</t>
  </si>
  <si>
    <t>6E1100</t>
  </si>
  <si>
    <t>2025-12-03</t>
  </si>
  <si>
    <t>6E1101</t>
  </si>
  <si>
    <t>2025-04-19</t>
  </si>
  <si>
    <t>6E1102</t>
  </si>
  <si>
    <t>6E1103</t>
  </si>
  <si>
    <t>2025-04-02</t>
  </si>
  <si>
    <t>6E1104</t>
  </si>
  <si>
    <t>2025-12-29</t>
  </si>
  <si>
    <t>6E1105</t>
  </si>
  <si>
    <t>2025-06-25</t>
  </si>
  <si>
    <t>6E1106</t>
  </si>
  <si>
    <t>2025-05-05</t>
  </si>
  <si>
    <t>6E1107</t>
  </si>
  <si>
    <t>2025-07-14</t>
  </si>
  <si>
    <t>6E1108</t>
  </si>
  <si>
    <t>2025-08-12</t>
  </si>
  <si>
    <t>6E1109</t>
  </si>
  <si>
    <t>6E1110</t>
  </si>
  <si>
    <t>6E1111</t>
  </si>
  <si>
    <t>6E1112</t>
  </si>
  <si>
    <t>2025-07-22</t>
  </si>
  <si>
    <t>6E1113</t>
  </si>
  <si>
    <t>2025-09-02</t>
  </si>
  <si>
    <t>6E1114</t>
  </si>
  <si>
    <t>2025-04-18</t>
  </si>
  <si>
    <t>6E1115</t>
  </si>
  <si>
    <t>2025-09-04</t>
  </si>
  <si>
    <t>6E1116</t>
  </si>
  <si>
    <t>2025-03-20</t>
  </si>
  <si>
    <t>6E1117</t>
  </si>
  <si>
    <t>2025-05-24</t>
  </si>
  <si>
    <t>6E1118</t>
  </si>
  <si>
    <t>6E1119</t>
  </si>
  <si>
    <t>2025-11-12</t>
  </si>
  <si>
    <t>6E1120</t>
  </si>
  <si>
    <t>6E1121</t>
  </si>
  <si>
    <t>6E1122</t>
  </si>
  <si>
    <t>2025-03-25</t>
  </si>
  <si>
    <t>6E1123</t>
  </si>
  <si>
    <t>2025-12-16</t>
  </si>
  <si>
    <t>6E1124</t>
  </si>
  <si>
    <t>2025-05-13</t>
  </si>
  <si>
    <t>6E1125</t>
  </si>
  <si>
    <t>6E1126</t>
  </si>
  <si>
    <t>2025-03-06</t>
  </si>
  <si>
    <t>6E1127</t>
  </si>
  <si>
    <t>2025-06-17</t>
  </si>
  <si>
    <t>6E1128</t>
  </si>
  <si>
    <t>2025-03-26</t>
  </si>
  <si>
    <t>6E1129</t>
  </si>
  <si>
    <t>6E1130</t>
  </si>
  <si>
    <t>6E1131</t>
  </si>
  <si>
    <t>6E1132</t>
  </si>
  <si>
    <t>2025-05-09</t>
  </si>
  <si>
    <t>6E1133</t>
  </si>
  <si>
    <t>2025-11-06</t>
  </si>
  <si>
    <t>6E1134</t>
  </si>
  <si>
    <t>2025-01-28</t>
  </si>
  <si>
    <t>6E1135</t>
  </si>
  <si>
    <t>2025-09-28</t>
  </si>
  <si>
    <t>6E1136</t>
  </si>
  <si>
    <t>2025-03-29</t>
  </si>
  <si>
    <t>6E1137</t>
  </si>
  <si>
    <t>2025-01-23</t>
  </si>
  <si>
    <t>6E1138</t>
  </si>
  <si>
    <t>2025-07-13</t>
  </si>
  <si>
    <t>6E1139</t>
  </si>
  <si>
    <t>2025-01-14</t>
  </si>
  <si>
    <t>6E1140</t>
  </si>
  <si>
    <t>6E1141</t>
  </si>
  <si>
    <t>2025-04-15</t>
  </si>
  <si>
    <t>6E1142</t>
  </si>
  <si>
    <t>6E1143</t>
  </si>
  <si>
    <t>2025-04-17</t>
  </si>
  <si>
    <t>6E1144</t>
  </si>
  <si>
    <t>6E1145</t>
  </si>
  <si>
    <t>6E1146</t>
  </si>
  <si>
    <t>2025-10-08</t>
  </si>
  <si>
    <t>6E1147</t>
  </si>
  <si>
    <t>6E1148</t>
  </si>
  <si>
    <t>2025-09-29</t>
  </si>
  <si>
    <t>6E1149</t>
  </si>
  <si>
    <t>2025-03-11</t>
  </si>
  <si>
    <t>6E1150</t>
  </si>
  <si>
    <t>6E1151</t>
  </si>
  <si>
    <t>2025-07-18</t>
  </si>
  <si>
    <t>6E1152</t>
  </si>
  <si>
    <t>2025-01-04</t>
  </si>
  <si>
    <t>6E1153</t>
  </si>
  <si>
    <t>2025-07-12</t>
  </si>
  <si>
    <t>6E1154</t>
  </si>
  <si>
    <t>2025-07-16</t>
  </si>
  <si>
    <t>6E1155</t>
  </si>
  <si>
    <t>2025-05-17</t>
  </si>
  <si>
    <t>6E1156</t>
  </si>
  <si>
    <t>2025-11-07</t>
  </si>
  <si>
    <t>6E1157</t>
  </si>
  <si>
    <t>2025-08-30</t>
  </si>
  <si>
    <t>6E1158</t>
  </si>
  <si>
    <t>6E1159</t>
  </si>
  <si>
    <t>2025-03-28</t>
  </si>
  <si>
    <t>6E1160</t>
  </si>
  <si>
    <t>2025-01-09</t>
  </si>
  <si>
    <t>6E1161</t>
  </si>
  <si>
    <t>2025-08-15</t>
  </si>
  <si>
    <t>6E1162</t>
  </si>
  <si>
    <t>2025-01-20</t>
  </si>
  <si>
    <t>6E1163</t>
  </si>
  <si>
    <t>2025-06-05</t>
  </si>
  <si>
    <t>6E1164</t>
  </si>
  <si>
    <t>2025-06-07</t>
  </si>
  <si>
    <t>6E1165</t>
  </si>
  <si>
    <t>2025-04-05</t>
  </si>
  <si>
    <t>6E1166</t>
  </si>
  <si>
    <t>6E1167</t>
  </si>
  <si>
    <t>2025-03-23</t>
  </si>
  <si>
    <t>6E1168</t>
  </si>
  <si>
    <t>6E1169</t>
  </si>
  <si>
    <t>2025-10-29</t>
  </si>
  <si>
    <t>6E1170</t>
  </si>
  <si>
    <t>2025-03-01</t>
  </si>
  <si>
    <t>6E1171</t>
  </si>
  <si>
    <t>2025-06-09</t>
  </si>
  <si>
    <t>6E1172</t>
  </si>
  <si>
    <t>6E1173</t>
  </si>
  <si>
    <t>2025-02-02</t>
  </si>
  <si>
    <t>6E1174</t>
  </si>
  <si>
    <t>2025-03-18</t>
  </si>
  <si>
    <t>6E1175</t>
  </si>
  <si>
    <t>2025-01-29</t>
  </si>
  <si>
    <t>6E1176</t>
  </si>
  <si>
    <t>2025-08-18</t>
  </si>
  <si>
    <t>6E1177</t>
  </si>
  <si>
    <t>2025-01-07</t>
  </si>
  <si>
    <t>6E1178</t>
  </si>
  <si>
    <t>2025-09-10</t>
  </si>
  <si>
    <t>6E1179</t>
  </si>
  <si>
    <t>2025-11-02</t>
  </si>
  <si>
    <t>6E1180</t>
  </si>
  <si>
    <t>2025-02-17</t>
  </si>
  <si>
    <t>6E1181</t>
  </si>
  <si>
    <t>2025-10-06</t>
  </si>
  <si>
    <t>6E1182</t>
  </si>
  <si>
    <t>2025-09-07</t>
  </si>
  <si>
    <t>6E1183</t>
  </si>
  <si>
    <t>2025-03-22</t>
  </si>
  <si>
    <t>6E1184</t>
  </si>
  <si>
    <t>6E1185</t>
  </si>
  <si>
    <t>6E1186</t>
  </si>
  <si>
    <t>2025-11-29</t>
  </si>
  <si>
    <t>6E1187</t>
  </si>
  <si>
    <t>2025-09-11</t>
  </si>
  <si>
    <t>6E1188</t>
  </si>
  <si>
    <t>6E1189</t>
  </si>
  <si>
    <t>2025-10-02</t>
  </si>
  <si>
    <t>6E1190</t>
  </si>
  <si>
    <t>2025-05-11</t>
  </si>
  <si>
    <t>6E1191</t>
  </si>
  <si>
    <t>2025-09-27</t>
  </si>
  <si>
    <t>6E1192</t>
  </si>
  <si>
    <t>2025-05-26</t>
  </si>
  <si>
    <t>6E1193</t>
  </si>
  <si>
    <t>6E1194</t>
  </si>
  <si>
    <t>2025-05-31</t>
  </si>
  <si>
    <t>6E1195</t>
  </si>
  <si>
    <t>6E1196</t>
  </si>
  <si>
    <t>2025-02-08</t>
  </si>
  <si>
    <t>6E1197</t>
  </si>
  <si>
    <t>6E1198</t>
  </si>
  <si>
    <t>2025-02-05</t>
  </si>
  <si>
    <t>6E1199</t>
  </si>
  <si>
    <t>6E1200</t>
  </si>
  <si>
    <t>6E1201</t>
  </si>
  <si>
    <t>6E1202</t>
  </si>
  <si>
    <t>2025-02-20</t>
  </si>
  <si>
    <t>6E1203</t>
  </si>
  <si>
    <t>2025-05-27</t>
  </si>
  <si>
    <t>6E1204</t>
  </si>
  <si>
    <t>2025-04-09</t>
  </si>
  <si>
    <t>6E1205</t>
  </si>
  <si>
    <t>2025-08-01</t>
  </si>
  <si>
    <t>6E1206</t>
  </si>
  <si>
    <t>2025-05-07</t>
  </si>
  <si>
    <t>6E1207</t>
  </si>
  <si>
    <t>6E1208</t>
  </si>
  <si>
    <t>2025-04-03</t>
  </si>
  <si>
    <t>6E1209</t>
  </si>
  <si>
    <t>2025-10-15</t>
  </si>
  <si>
    <t>6E1210</t>
  </si>
  <si>
    <t>2025-02-27</t>
  </si>
  <si>
    <t>6E1211</t>
  </si>
  <si>
    <t>2025-07-25</t>
  </si>
  <si>
    <t>6E1212</t>
  </si>
  <si>
    <t>2025-10-12</t>
  </si>
  <si>
    <t>6E1213</t>
  </si>
  <si>
    <t>2025-10-22</t>
  </si>
  <si>
    <t>6E1214</t>
  </si>
  <si>
    <t>6E1215</t>
  </si>
  <si>
    <t>2025-01-03</t>
  </si>
  <si>
    <t>6E1216</t>
  </si>
  <si>
    <t>2025-12-08</t>
  </si>
  <si>
    <t>6E1217</t>
  </si>
  <si>
    <t>6E1218</t>
  </si>
  <si>
    <t>6E1219</t>
  </si>
  <si>
    <t>2025-01-19</t>
  </si>
  <si>
    <t>6E1220</t>
  </si>
  <si>
    <t>6E1221</t>
  </si>
  <si>
    <t>2025-08-25</t>
  </si>
  <si>
    <t>6E1222</t>
  </si>
  <si>
    <t>6E1223</t>
  </si>
  <si>
    <t>6E1224</t>
  </si>
  <si>
    <t>6E1225</t>
  </si>
  <si>
    <t>6E1226</t>
  </si>
  <si>
    <t>2025-02-18</t>
  </si>
  <si>
    <t>6E1227</t>
  </si>
  <si>
    <t>2025-02-24</t>
  </si>
  <si>
    <t>6E1228</t>
  </si>
  <si>
    <t>6E1229</t>
  </si>
  <si>
    <t>2025-02-14</t>
  </si>
  <si>
    <t>6E1230</t>
  </si>
  <si>
    <t>6E1231</t>
  </si>
  <si>
    <t>2025-05-22</t>
  </si>
  <si>
    <t>6E1232</t>
  </si>
  <si>
    <t>6E1233</t>
  </si>
  <si>
    <t>6E1234</t>
  </si>
  <si>
    <t>2025-10-23</t>
  </si>
  <si>
    <t>6E1235</t>
  </si>
  <si>
    <t>2025-01-10</t>
  </si>
  <si>
    <t>6E1236</t>
  </si>
  <si>
    <t>6E1237</t>
  </si>
  <si>
    <t>6E1238</t>
  </si>
  <si>
    <t>6E1239</t>
  </si>
  <si>
    <t>6E1240</t>
  </si>
  <si>
    <t>2025-09-24</t>
  </si>
  <si>
    <t>6E1241</t>
  </si>
  <si>
    <t>2025-07-24</t>
  </si>
  <si>
    <t>6E1242</t>
  </si>
  <si>
    <t>2025-12-13</t>
  </si>
  <si>
    <t>6E1243</t>
  </si>
  <si>
    <t>2025-09-08</t>
  </si>
  <si>
    <t>6E1244</t>
  </si>
  <si>
    <t>2025-11-18</t>
  </si>
  <si>
    <t>6E1245</t>
  </si>
  <si>
    <t>6E1246</t>
  </si>
  <si>
    <t>2025-08-26</t>
  </si>
  <si>
    <t>6E1247</t>
  </si>
  <si>
    <t>2025-02-13</t>
  </si>
  <si>
    <t>6E1248</t>
  </si>
  <si>
    <t>2025-07-27</t>
  </si>
  <si>
    <t>6E1249</t>
  </si>
  <si>
    <t>6E1250</t>
  </si>
  <si>
    <t>6E1251</t>
  </si>
  <si>
    <t>6E1252</t>
  </si>
  <si>
    <t>2025-01-30</t>
  </si>
  <si>
    <t>6E1253</t>
  </si>
  <si>
    <t>6E1254</t>
  </si>
  <si>
    <t>2025-08-20</t>
  </si>
  <si>
    <t>6E1255</t>
  </si>
  <si>
    <t>6E1256</t>
  </si>
  <si>
    <t>6E1257</t>
  </si>
  <si>
    <t>2025-11-13</t>
  </si>
  <si>
    <t>6E1258</t>
  </si>
  <si>
    <t>2025-10-04</t>
  </si>
  <si>
    <t>6E1259</t>
  </si>
  <si>
    <t>6E1260</t>
  </si>
  <si>
    <t>6E1261</t>
  </si>
  <si>
    <t>6E1262</t>
  </si>
  <si>
    <t>6E1263</t>
  </si>
  <si>
    <t>6E1264</t>
  </si>
  <si>
    <t>6E1265</t>
  </si>
  <si>
    <t>6E1266</t>
  </si>
  <si>
    <t>6E1267</t>
  </si>
  <si>
    <t>2025-04-24</t>
  </si>
  <si>
    <t>6E1268</t>
  </si>
  <si>
    <t>2025-01-22</t>
  </si>
  <si>
    <t>6E1269</t>
  </si>
  <si>
    <t>2025-01-25</t>
  </si>
  <si>
    <t>6E1270</t>
  </si>
  <si>
    <t>6E1271</t>
  </si>
  <si>
    <t>6E1272</t>
  </si>
  <si>
    <t>6E1273</t>
  </si>
  <si>
    <t>2025-06-21</t>
  </si>
  <si>
    <t>6E1274</t>
  </si>
  <si>
    <t>2025-04-23</t>
  </si>
  <si>
    <t>6E1275</t>
  </si>
  <si>
    <t>6E1276</t>
  </si>
  <si>
    <t>2025-07-19</t>
  </si>
  <si>
    <t>6E1277</t>
  </si>
  <si>
    <t>6E1278</t>
  </si>
  <si>
    <t>2025-03-27</t>
  </si>
  <si>
    <t>6E1279</t>
  </si>
  <si>
    <t>2025-07-26</t>
  </si>
  <si>
    <t>6E1280</t>
  </si>
  <si>
    <t>2025-09-17</t>
  </si>
  <si>
    <t>6E1281</t>
  </si>
  <si>
    <t>6E1282</t>
  </si>
  <si>
    <t>2025-07-17</t>
  </si>
  <si>
    <t>6E1283</t>
  </si>
  <si>
    <t>6E1284</t>
  </si>
  <si>
    <t>2025-10-31</t>
  </si>
  <si>
    <t>6E1285</t>
  </si>
  <si>
    <t>6E1286</t>
  </si>
  <si>
    <t>2025-01-06</t>
  </si>
  <si>
    <t>6E1287</t>
  </si>
  <si>
    <t>2025-09-18</t>
  </si>
  <si>
    <t>6E1288</t>
  </si>
  <si>
    <t>6E1289</t>
  </si>
  <si>
    <t>6E1290</t>
  </si>
  <si>
    <t>6E1291</t>
  </si>
  <si>
    <t>2025-06-16</t>
  </si>
  <si>
    <t>6E1292</t>
  </si>
  <si>
    <t>2025-04-29</t>
  </si>
  <si>
    <t>6E1293</t>
  </si>
  <si>
    <t>2025-02-15</t>
  </si>
  <si>
    <t>6E1294</t>
  </si>
  <si>
    <t>6E1295</t>
  </si>
  <si>
    <t>2025-12-30</t>
  </si>
  <si>
    <t>6E1296</t>
  </si>
  <si>
    <t>6E1297</t>
  </si>
  <si>
    <t>2025-11-27</t>
  </si>
  <si>
    <t>6E1298</t>
  </si>
  <si>
    <t>6E1299</t>
  </si>
  <si>
    <t>6E1300</t>
  </si>
  <si>
    <t>2025-09-21</t>
  </si>
  <si>
    <t>6E1301</t>
  </si>
  <si>
    <t>2025-08-27</t>
  </si>
  <si>
    <t>6E1302</t>
  </si>
  <si>
    <t>2025-03-30</t>
  </si>
  <si>
    <t>6E1303</t>
  </si>
  <si>
    <t>6E1304</t>
  </si>
  <si>
    <t>6E1305</t>
  </si>
  <si>
    <t>2025-01-11</t>
  </si>
  <si>
    <t>6E1306</t>
  </si>
  <si>
    <t>6E1307</t>
  </si>
  <si>
    <t>2025-08-31</t>
  </si>
  <si>
    <t>6E1308</t>
  </si>
  <si>
    <t>6E1309</t>
  </si>
  <si>
    <t>2025-10-24</t>
  </si>
  <si>
    <t>6E1310</t>
  </si>
  <si>
    <t>6E1311</t>
  </si>
  <si>
    <t>6E1312</t>
  </si>
  <si>
    <t>6E1313</t>
  </si>
  <si>
    <t>2025-04-06</t>
  </si>
  <si>
    <t>6E1314</t>
  </si>
  <si>
    <t>2025-02-01</t>
  </si>
  <si>
    <t>6E1315</t>
  </si>
  <si>
    <t>2025-11-24</t>
  </si>
  <si>
    <t>6E1316</t>
  </si>
  <si>
    <t>6E1317</t>
  </si>
  <si>
    <t>2025-04-27</t>
  </si>
  <si>
    <t>6E1318</t>
  </si>
  <si>
    <t>2025-06-27</t>
  </si>
  <si>
    <t>6E1319</t>
  </si>
  <si>
    <t>6E1320</t>
  </si>
  <si>
    <t>6E1321</t>
  </si>
  <si>
    <t>6E1322</t>
  </si>
  <si>
    <t>2025-05-23</t>
  </si>
  <si>
    <t>6E1323</t>
  </si>
  <si>
    <t>2025-11-15</t>
  </si>
  <si>
    <t>6E1324</t>
  </si>
  <si>
    <t>6E1325</t>
  </si>
  <si>
    <t>2025-09-25</t>
  </si>
  <si>
    <t>6E1326</t>
  </si>
  <si>
    <t>2025-07-09</t>
  </si>
  <si>
    <t>6E1327</t>
  </si>
  <si>
    <t>6E1328</t>
  </si>
  <si>
    <t>2025-01-18</t>
  </si>
  <si>
    <t>6E1329</t>
  </si>
  <si>
    <t>6E1330</t>
  </si>
  <si>
    <t>6E1331</t>
  </si>
  <si>
    <t>2025-11-14</t>
  </si>
  <si>
    <t>6E1332</t>
  </si>
  <si>
    <t>6E1333</t>
  </si>
  <si>
    <t>6E1334</t>
  </si>
  <si>
    <t>6E1335</t>
  </si>
  <si>
    <t>2025-09-01</t>
  </si>
  <si>
    <t>6E1336</t>
  </si>
  <si>
    <t>6E1337</t>
  </si>
  <si>
    <t>2025-12-15</t>
  </si>
  <si>
    <t>6E1338</t>
  </si>
  <si>
    <t>6E1339</t>
  </si>
  <si>
    <t>2025-06-30</t>
  </si>
  <si>
    <t>6E1340</t>
  </si>
  <si>
    <t>2025-02-26</t>
  </si>
  <si>
    <t>6E1341</t>
  </si>
  <si>
    <t>6E1342</t>
  </si>
  <si>
    <t>2025-10-17</t>
  </si>
  <si>
    <t>6E1343</t>
  </si>
  <si>
    <t>6E1344</t>
  </si>
  <si>
    <t>6E1345</t>
  </si>
  <si>
    <t>6E1346</t>
  </si>
  <si>
    <t>6E1347</t>
  </si>
  <si>
    <t>6E1348</t>
  </si>
  <si>
    <t>6E1349</t>
  </si>
  <si>
    <t>2025-11-03</t>
  </si>
  <si>
    <t>6E1350</t>
  </si>
  <si>
    <t>6E1351</t>
  </si>
  <si>
    <t>2025-08-17</t>
  </si>
  <si>
    <t>6E1352</t>
  </si>
  <si>
    <t>2025-06-18</t>
  </si>
  <si>
    <t>6E1353</t>
  </si>
  <si>
    <t>6E1354</t>
  </si>
  <si>
    <t>6E1355</t>
  </si>
  <si>
    <t>6E1356</t>
  </si>
  <si>
    <t>2025-09-15</t>
  </si>
  <si>
    <t>6E1357</t>
  </si>
  <si>
    <t>6E1358</t>
  </si>
  <si>
    <t>2025-04-13</t>
  </si>
  <si>
    <t>6E1359</t>
  </si>
  <si>
    <t>6E1360</t>
  </si>
  <si>
    <t>6E1361</t>
  </si>
  <si>
    <t>6E1362</t>
  </si>
  <si>
    <t>2025-12-24</t>
  </si>
  <si>
    <t>6E1363</t>
  </si>
  <si>
    <t>6E1364</t>
  </si>
  <si>
    <t>2025-09-23</t>
  </si>
  <si>
    <t>6E1365</t>
  </si>
  <si>
    <t>6E1366</t>
  </si>
  <si>
    <t>6E1367</t>
  </si>
  <si>
    <t>2025-11-30</t>
  </si>
  <si>
    <t>6E1368</t>
  </si>
  <si>
    <t>6E1369</t>
  </si>
  <si>
    <t>6E1370</t>
  </si>
  <si>
    <t>6E1371</t>
  </si>
  <si>
    <t>2025-02-28</t>
  </si>
  <si>
    <t>6E1372</t>
  </si>
  <si>
    <t>6E1373</t>
  </si>
  <si>
    <t>6E1374</t>
  </si>
  <si>
    <t>2025-04-14</t>
  </si>
  <si>
    <t>6E1375</t>
  </si>
  <si>
    <t>6E1376</t>
  </si>
  <si>
    <t>2025-08-22</t>
  </si>
  <si>
    <t>6E1377</t>
  </si>
  <si>
    <t>2025-10-10</t>
  </si>
  <si>
    <t>6E1378</t>
  </si>
  <si>
    <t>2025-03-02</t>
  </si>
  <si>
    <t>6E1379</t>
  </si>
  <si>
    <t>6E1380</t>
  </si>
  <si>
    <t>6E1381</t>
  </si>
  <si>
    <t>6E1382</t>
  </si>
  <si>
    <t>2025-12-22</t>
  </si>
  <si>
    <t>6E1383</t>
  </si>
  <si>
    <t>2025-03-14</t>
  </si>
  <si>
    <t>6E1384</t>
  </si>
  <si>
    <t>6E1385</t>
  </si>
  <si>
    <t>6E1386</t>
  </si>
  <si>
    <t>6E1387</t>
  </si>
  <si>
    <t>6E1388</t>
  </si>
  <si>
    <t>6E1389</t>
  </si>
  <si>
    <t>6E1390</t>
  </si>
  <si>
    <t>6E1391</t>
  </si>
  <si>
    <t>6E1392</t>
  </si>
  <si>
    <t>6E1393</t>
  </si>
  <si>
    <t>6E1394</t>
  </si>
  <si>
    <t>2025-04-04</t>
  </si>
  <si>
    <t>6E1395</t>
  </si>
  <si>
    <t>6E1396</t>
  </si>
  <si>
    <t>6E1397</t>
  </si>
  <si>
    <t>6E1398</t>
  </si>
  <si>
    <t>6E1399</t>
  </si>
  <si>
    <t>6E1400</t>
  </si>
  <si>
    <t>6E1401</t>
  </si>
  <si>
    <t>6E1402</t>
  </si>
  <si>
    <t>2025-06-26</t>
  </si>
  <si>
    <t>6E1403</t>
  </si>
  <si>
    <t>6E1404</t>
  </si>
  <si>
    <t>6E1405</t>
  </si>
  <si>
    <t>6E1406</t>
  </si>
  <si>
    <t>6E1407</t>
  </si>
  <si>
    <t>2025-12-28</t>
  </si>
  <si>
    <t>6E1408</t>
  </si>
  <si>
    <t>6E1409</t>
  </si>
  <si>
    <t>6E1410</t>
  </si>
  <si>
    <t>6E1411</t>
  </si>
  <si>
    <t>2025-05-10</t>
  </si>
  <si>
    <t>6E1412</t>
  </si>
  <si>
    <t>2025-03-24</t>
  </si>
  <si>
    <t>6E1413</t>
  </si>
  <si>
    <t>2025-10-30</t>
  </si>
  <si>
    <t>6E1414</t>
  </si>
  <si>
    <t>6E1415</t>
  </si>
  <si>
    <t>2025-07-31</t>
  </si>
  <si>
    <t>6E1416</t>
  </si>
  <si>
    <t>6E1417</t>
  </si>
  <si>
    <t>2025-06-24</t>
  </si>
  <si>
    <t>6E1418</t>
  </si>
  <si>
    <t>6E1419</t>
  </si>
  <si>
    <t>2025-03-05</t>
  </si>
  <si>
    <t>6E1420</t>
  </si>
  <si>
    <t>6E1421</t>
  </si>
  <si>
    <t>2025-05-03</t>
  </si>
  <si>
    <t>6E1422</t>
  </si>
  <si>
    <t>6E1423</t>
  </si>
  <si>
    <t>6E1424</t>
  </si>
  <si>
    <t>2025-09-14</t>
  </si>
  <si>
    <t>6E1425</t>
  </si>
  <si>
    <t>6E1426</t>
  </si>
  <si>
    <t>2025-06-23</t>
  </si>
  <si>
    <t>6E1427</t>
  </si>
  <si>
    <t>6E1428</t>
  </si>
  <si>
    <t>6E1429</t>
  </si>
  <si>
    <t>6E1430</t>
  </si>
  <si>
    <t>2025-08-19</t>
  </si>
  <si>
    <t>6E1431</t>
  </si>
  <si>
    <t>6E1432</t>
  </si>
  <si>
    <t>2025-07-21</t>
  </si>
  <si>
    <t>6E1433</t>
  </si>
  <si>
    <t>6E1434</t>
  </si>
  <si>
    <t>6E1435</t>
  </si>
  <si>
    <t>6E1436</t>
  </si>
  <si>
    <t>6E1437</t>
  </si>
  <si>
    <t>2025-05-01</t>
  </si>
  <si>
    <t>6E1438</t>
  </si>
  <si>
    <t>6E1439</t>
  </si>
  <si>
    <t>6E1440</t>
  </si>
  <si>
    <t>6E1441</t>
  </si>
  <si>
    <t>2025-11-11</t>
  </si>
  <si>
    <t>6E1442</t>
  </si>
  <si>
    <t>2025-02-06</t>
  </si>
  <si>
    <t>6E1443</t>
  </si>
  <si>
    <t>2025-12-20</t>
  </si>
  <si>
    <t>6E1444</t>
  </si>
  <si>
    <t>6E1445</t>
  </si>
  <si>
    <t>6E1446</t>
  </si>
  <si>
    <t>6E1447</t>
  </si>
  <si>
    <t>6E1448</t>
  </si>
  <si>
    <t>6E1449</t>
  </si>
  <si>
    <t>6E1450</t>
  </si>
  <si>
    <t>6E1451</t>
  </si>
  <si>
    <t>2025-05-20</t>
  </si>
  <si>
    <t>6E1452</t>
  </si>
  <si>
    <t>6E1453</t>
  </si>
  <si>
    <t>6E1454</t>
  </si>
  <si>
    <t>6E1455</t>
  </si>
  <si>
    <t>6E1456</t>
  </si>
  <si>
    <t>2025-02-22</t>
  </si>
  <si>
    <t>6E1457</t>
  </si>
  <si>
    <t>2025-05-06</t>
  </si>
  <si>
    <t>6E1458</t>
  </si>
  <si>
    <t>6E1459</t>
  </si>
  <si>
    <t>6E1460</t>
  </si>
  <si>
    <t>6E1461</t>
  </si>
  <si>
    <t>6E1462</t>
  </si>
  <si>
    <t>6E1463</t>
  </si>
  <si>
    <t>6E1464</t>
  </si>
  <si>
    <t>2025-02-11</t>
  </si>
  <si>
    <t>6E1465</t>
  </si>
  <si>
    <t>6E1466</t>
  </si>
  <si>
    <t>6E1467</t>
  </si>
  <si>
    <t>6E1468</t>
  </si>
  <si>
    <t>6E1469</t>
  </si>
  <si>
    <t>6E1470</t>
  </si>
  <si>
    <t>6E1471</t>
  </si>
  <si>
    <t>6E1472</t>
  </si>
  <si>
    <t>6E1473</t>
  </si>
  <si>
    <t>6E1474</t>
  </si>
  <si>
    <t>2025-05-21</t>
  </si>
  <si>
    <t>6E1475</t>
  </si>
  <si>
    <t>6E1476</t>
  </si>
  <si>
    <t>6E1477</t>
  </si>
  <si>
    <t>6E1478</t>
  </si>
  <si>
    <t>6E1479</t>
  </si>
  <si>
    <t>6E1480</t>
  </si>
  <si>
    <t>2025-03-19</t>
  </si>
  <si>
    <t>6E1481</t>
  </si>
  <si>
    <t>6E1482</t>
  </si>
  <si>
    <t>6E1483</t>
  </si>
  <si>
    <t>6E1484</t>
  </si>
  <si>
    <t>2025-08-05</t>
  </si>
  <si>
    <t>6E1485</t>
  </si>
  <si>
    <t>6E1486</t>
  </si>
  <si>
    <t>2025-08-10</t>
  </si>
  <si>
    <t>6E1487</t>
  </si>
  <si>
    <t>6E1488</t>
  </si>
  <si>
    <t>2025-03-21</t>
  </si>
  <si>
    <t>6E1489</t>
  </si>
  <si>
    <t>6E1490</t>
  </si>
  <si>
    <t>6E1491</t>
  </si>
  <si>
    <t>6E1492</t>
  </si>
  <si>
    <t>6E1493</t>
  </si>
  <si>
    <t>6E1494</t>
  </si>
  <si>
    <t>2025-06-13</t>
  </si>
  <si>
    <t>6E1495</t>
  </si>
  <si>
    <t>2025-06-15</t>
  </si>
  <si>
    <t>6E1496</t>
  </si>
  <si>
    <t>6E1497</t>
  </si>
  <si>
    <t>6E1498</t>
  </si>
  <si>
    <t>6E1499</t>
  </si>
  <si>
    <t>6E1500</t>
  </si>
  <si>
    <t>2025-01-12</t>
  </si>
  <si>
    <t>6E1501</t>
  </si>
  <si>
    <t>Factor_Level</t>
  </si>
  <si>
    <t>Seats_Available</t>
  </si>
  <si>
    <t>Year</t>
  </si>
  <si>
    <t>Month</t>
  </si>
  <si>
    <t>Total_Revenue</t>
  </si>
  <si>
    <t>Total_Cost</t>
  </si>
  <si>
    <t>Total_Profit</t>
  </si>
  <si>
    <t>Profit_Margin_%</t>
  </si>
  <si>
    <t>Total_Ticket_Revenue</t>
  </si>
  <si>
    <t>Total_Cargo_Revenue</t>
  </si>
  <si>
    <t>Total_Sales</t>
  </si>
  <si>
    <t>Total_Fuel_Cost</t>
  </si>
  <si>
    <t>Total_Operating_Cost_INR</t>
  </si>
  <si>
    <t>Total_Cost_</t>
  </si>
  <si>
    <t>Total_Profit_</t>
  </si>
  <si>
    <t>Toatl_Seats_Available</t>
  </si>
  <si>
    <t>Total_Passengers</t>
  </si>
  <si>
    <t>Average_Delay_In_Minutes</t>
  </si>
  <si>
    <t>_Profit_Margin_%</t>
  </si>
  <si>
    <t>Jan</t>
  </si>
  <si>
    <t>Feb</t>
  </si>
  <si>
    <t>Mar</t>
  </si>
  <si>
    <t>Apr</t>
  </si>
  <si>
    <t>May</t>
  </si>
  <si>
    <t>Jun</t>
  </si>
  <si>
    <t>Jul</t>
  </si>
  <si>
    <t>Aug</t>
  </si>
  <si>
    <t>Sep</t>
  </si>
  <si>
    <t>Oct</t>
  </si>
  <si>
    <t>Nov</t>
  </si>
  <si>
    <t>Dec</t>
  </si>
  <si>
    <t>Grand Total</t>
  </si>
  <si>
    <t>2025</t>
  </si>
  <si>
    <t>Total Passengers</t>
  </si>
  <si>
    <t>Month With Highest Passengers</t>
  </si>
  <si>
    <t>Aircraft Type</t>
  </si>
  <si>
    <t>High</t>
  </si>
  <si>
    <t>Intermediate</t>
  </si>
  <si>
    <t>Low</t>
  </si>
  <si>
    <t>Factor Level</t>
  </si>
  <si>
    <t>Aircraft Wise Total Factor Level</t>
  </si>
  <si>
    <t>Total Seats_Available</t>
  </si>
  <si>
    <t>_Total_Revenue</t>
  </si>
  <si>
    <t>Fuel_Cost</t>
  </si>
  <si>
    <t>Cargo_Revenue</t>
  </si>
  <si>
    <t>Total Ticket_Revenue</t>
  </si>
  <si>
    <t>Operating_Cost</t>
  </si>
  <si>
    <t xml:space="preserve"> _Total_Cost</t>
  </si>
  <si>
    <t>_Total_Profit</t>
  </si>
  <si>
    <t>Aircraft Type Wise Total Seats Available, Revenue, Cost And Profit</t>
  </si>
  <si>
    <t xml:space="preserve"> Seats_Available</t>
  </si>
  <si>
    <t>Ticket_Revenue</t>
  </si>
  <si>
    <t>Total_Revenue_</t>
  </si>
  <si>
    <t>Average_of_Delay_in_Minutes</t>
  </si>
  <si>
    <t>Route Wise Total Seats Available, Revenue, Profit Margin And Delay</t>
  </si>
  <si>
    <t>_Total_Cost</t>
  </si>
  <si>
    <t>Profit Margin_%</t>
  </si>
  <si>
    <t>Seats Available</t>
  </si>
  <si>
    <t>_Passengers</t>
  </si>
  <si>
    <t>Total Revenue</t>
  </si>
  <si>
    <t>Running Total Revenue %</t>
  </si>
  <si>
    <t>Month On Month Trend Analysis</t>
  </si>
  <si>
    <t>% Passengers</t>
  </si>
  <si>
    <t>Passengers Growth %</t>
  </si>
  <si>
    <t>Total flight</t>
  </si>
  <si>
    <t>Route Name</t>
  </si>
  <si>
    <t xml:space="preserve">Route </t>
  </si>
  <si>
    <t>Delhi - Goa</t>
  </si>
  <si>
    <t>Bengaluru - Hyderabad</t>
  </si>
  <si>
    <t>Bengaluru - Cochin</t>
  </si>
  <si>
    <t>Delhi - Bombay</t>
  </si>
  <si>
    <t>Bengaluru - Delhi</t>
  </si>
  <si>
    <t>Bombay - Hyderabad</t>
  </si>
  <si>
    <t>Bengaluru - Bombay</t>
  </si>
  <si>
    <t>Madras - Delhi</t>
  </si>
  <si>
    <t>Bengaluru - Calacatta</t>
  </si>
  <si>
    <t>Calacatta - Delhi</t>
  </si>
  <si>
    <t>Satisfaction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</si>
</sst>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0.0"/>
    <numFmt numFmtId="166" formatCode="0.0%"/>
  </numFmts>
  <fonts count="4"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0" xfId="0" applyFont="1"/>
    <xf numFmtId="0" fontId="0" fillId="0" borderId="0" xfId="0" applyNumberFormat="1"/>
    <xf numFmtId="14" fontId="0" fillId="0" borderId="0" xfId="0" applyNumberFormat="1"/>
    <xf numFmtId="164" fontId="0" fillId="0" borderId="0" xfId="0" applyNumberFormat="1"/>
    <xf numFmtId="1" fontId="0" fillId="0" borderId="0" xfId="0" applyNumberFormat="1"/>
    <xf numFmtId="49" fontId="0" fillId="0" borderId="0" xfId="0" applyNumberFormat="1"/>
    <xf numFmtId="2" fontId="0" fillId="0" borderId="0" xfId="0" applyNumberFormat="1"/>
    <xf numFmtId="165" fontId="0" fillId="0" borderId="0" xfId="0" applyNumberFormat="1"/>
    <xf numFmtId="166" fontId="0" fillId="0" borderId="0" xfId="1" applyNumberFormat="1" applyFont="1"/>
    <xf numFmtId="0" fontId="0" fillId="0" borderId="0" xfId="0" pivotButton="1"/>
    <xf numFmtId="0" fontId="0" fillId="0" borderId="0" xfId="0" applyAlignment="1">
      <alignment horizontal="left"/>
    </xf>
    <xf numFmtId="0" fontId="3" fillId="0" borderId="0" xfId="0" applyFont="1" applyAlignment="1">
      <alignment horizontal="left" vertical="center" indent="2"/>
    </xf>
    <xf numFmtId="0" fontId="0" fillId="0" borderId="0" xfId="0" applyAlignment="1">
      <alignment horizontal="left" vertical="center" indent="2"/>
    </xf>
    <xf numFmtId="10" fontId="0" fillId="0" borderId="0" xfId="0" applyNumberFormat="1"/>
    <xf numFmtId="0" fontId="0" fillId="0" borderId="1" xfId="0" applyBorder="1"/>
    <xf numFmtId="0" fontId="0" fillId="0" borderId="0" xfId="0" applyAlignment="1">
      <alignment horizontal="left" indent="1"/>
    </xf>
    <xf numFmtId="0" fontId="3" fillId="0" borderId="0" xfId="0" applyFont="1" applyAlignment="1">
      <alignment horizontal="center"/>
    </xf>
    <xf numFmtId="0" fontId="0" fillId="0" borderId="0" xfId="0" applyAlignment="1">
      <alignment horizontal="center"/>
    </xf>
  </cellXfs>
  <cellStyles count="2">
    <cellStyle name="Normal" xfId="0" builtinId="0"/>
    <cellStyle name="Percent" xfId="1" builtinId="5"/>
  </cellStyles>
  <dxfs count="94">
    <dxf>
      <numFmt numFmtId="165" formatCode="0.0"/>
    </dxf>
    <dxf>
      <numFmt numFmtId="30" formatCode="@"/>
    </dxf>
    <dxf>
      <numFmt numFmtId="1" formatCode="0"/>
    </dxf>
    <dxf>
      <numFmt numFmtId="166" formatCode="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2" formatCode="0.00"/>
    </dxf>
    <dxf>
      <numFmt numFmtId="2" formatCode="0.00"/>
    </dxf>
    <dxf>
      <numFmt numFmtId="14" formatCode="0.00%"/>
    </dxf>
    <dxf>
      <font>
        <b/>
        <i val="0"/>
        <strike val="0"/>
        <condense val="0"/>
        <extend val="0"/>
        <outline val="0"/>
        <shadow val="0"/>
        <u val="none"/>
        <vertAlign val="baseline"/>
        <sz val="11"/>
        <color auto="1"/>
        <name val="Calibri"/>
        <family val="2"/>
        <scheme val="none"/>
      </font>
    </dxf>
    <dxf>
      <numFmt numFmtId="0" formatCode="General"/>
    </dxf>
    <dxf>
      <numFmt numFmtId="0" formatCode="General"/>
    </dxf>
    <dxf>
      <numFmt numFmtId="0" formatCode="General"/>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4" formatCode="0.00%"/>
    </dxf>
    <dxf>
      <numFmt numFmtId="2" formatCode="0.0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2</xdr:row>
      <xdr:rowOff>31750</xdr:rowOff>
    </xdr:from>
    <xdr:to>
      <xdr:col>2</xdr:col>
      <xdr:colOff>234950</xdr:colOff>
      <xdr:row>5</xdr:row>
      <xdr:rowOff>165100</xdr:rowOff>
    </xdr:to>
    <mc:AlternateContent xmlns:mc="http://schemas.openxmlformats.org/markup-compatibility/2006" xmlns:a14="http://schemas.microsoft.com/office/drawing/2010/main">
      <mc:Choice Requires="a14">
        <xdr:graphicFrame macro="">
          <xdr:nvGraphicFramePr>
            <xdr:cNvPr id="2" name="Aircraft_Type">
              <a:extLst>
                <a:ext uri="{FF2B5EF4-FFF2-40B4-BE49-F238E27FC236}">
                  <a16:creationId xmlns:a16="http://schemas.microsoft.com/office/drawing/2014/main" id="{9C3A236D-4B9B-ADC3-3F94-E4D2761BD29B}"/>
                </a:ext>
              </a:extLst>
            </xdr:cNvPr>
            <xdr:cNvGraphicFramePr/>
          </xdr:nvGraphicFramePr>
          <xdr:xfrm>
            <a:off x="0" y="0"/>
            <a:ext cx="0" cy="0"/>
          </xdr:xfrm>
          <a:graphic>
            <a:graphicData uri="http://schemas.microsoft.com/office/drawing/2010/slicer">
              <sle:slicer xmlns:sle="http://schemas.microsoft.com/office/drawing/2010/slicer" name="Aircraft_Type"/>
            </a:graphicData>
          </a:graphic>
        </xdr:graphicFrame>
      </mc:Choice>
      <mc:Fallback xmlns="">
        <xdr:sp macro="" textlink="">
          <xdr:nvSpPr>
            <xdr:cNvPr id="0" name=""/>
            <xdr:cNvSpPr>
              <a:spLocks noTextEdit="1"/>
            </xdr:cNvSpPr>
          </xdr:nvSpPr>
          <xdr:spPr>
            <a:xfrm>
              <a:off x="31750" y="400050"/>
              <a:ext cx="272415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152401</xdr:rowOff>
    </xdr:from>
    <xdr:to>
      <xdr:col>2</xdr:col>
      <xdr:colOff>1289050</xdr:colOff>
      <xdr:row>5</xdr:row>
      <xdr:rowOff>152401</xdr:rowOff>
    </xdr:to>
    <mc:AlternateContent xmlns:mc="http://schemas.openxmlformats.org/markup-compatibility/2006" xmlns:a14="http://schemas.microsoft.com/office/drawing/2010/main">
      <mc:Choice Requires="a14">
        <xdr:graphicFrame macro="">
          <xdr:nvGraphicFramePr>
            <xdr:cNvPr id="2" name="Aircraft_Type 1">
              <a:extLst>
                <a:ext uri="{FF2B5EF4-FFF2-40B4-BE49-F238E27FC236}">
                  <a16:creationId xmlns:a16="http://schemas.microsoft.com/office/drawing/2014/main" id="{3F432102-B6D9-B03E-5671-06267AA9CC8F}"/>
                </a:ext>
              </a:extLst>
            </xdr:cNvPr>
            <xdr:cNvGraphicFramePr/>
          </xdr:nvGraphicFramePr>
          <xdr:xfrm>
            <a:off x="0" y="0"/>
            <a:ext cx="0" cy="0"/>
          </xdr:xfrm>
          <a:graphic>
            <a:graphicData uri="http://schemas.microsoft.com/office/drawing/2010/slicer">
              <sle:slicer xmlns:sle="http://schemas.microsoft.com/office/drawing/2010/slicer" name="Aircraft_Type 1"/>
            </a:graphicData>
          </a:graphic>
        </xdr:graphicFrame>
      </mc:Choice>
      <mc:Fallback xmlns="">
        <xdr:sp macro="" textlink="">
          <xdr:nvSpPr>
            <xdr:cNvPr id="0" name=""/>
            <xdr:cNvSpPr>
              <a:spLocks noTextEdit="1"/>
            </xdr:cNvSpPr>
          </xdr:nvSpPr>
          <xdr:spPr>
            <a:xfrm>
              <a:off x="0" y="336551"/>
              <a:ext cx="2813050" cy="73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8.802926504628" createdVersion="8" refreshedVersion="8" minRefreshableVersion="3" recordCount="500" xr:uid="{4F71DAD2-9FB0-4A2D-ABEF-F999BF7BCF6F}">
  <cacheSource type="worksheet">
    <worksheetSource name="Table1_1"/>
  </cacheSource>
  <cacheFields count="24">
    <cacheField name="Flight_ID" numFmtId="0">
      <sharedItems/>
    </cacheField>
    <cacheField name="Date" numFmtId="14">
      <sharedItems containsSemiMixedTypes="0" containsNonDate="0" containsDate="1" containsString="0" minDate="2025-01-03T00:00:00" maxDate="2026-01-01T00:00:00"/>
    </cacheField>
    <cacheField name="Year" numFmtId="14">
      <sharedItems count="1">
        <s v="2025"/>
      </sharedItems>
    </cacheField>
    <cacheField name="Month" numFmtId="14">
      <sharedItems count="12">
        <s v="May"/>
        <s v="Jun"/>
        <s v="Jul"/>
        <s v="Dec"/>
        <s v="Mar"/>
        <s v="Sep"/>
        <s v="Apr"/>
        <s v="Oct"/>
        <s v="Nov"/>
        <s v="Aug"/>
        <s v="Jan"/>
        <s v="Feb"/>
      </sharedItems>
    </cacheField>
    <cacheField name="Route" numFmtId="0">
      <sharedItems count="10">
        <s v="DEL-GOI"/>
        <s v="BLR-HYD"/>
        <s v="CCU-DEL"/>
        <s v="BLR-COK"/>
        <s v="DEL-BOM"/>
        <s v="BLR-DEL"/>
        <s v="BOM-HYD"/>
        <s v="BLR-BOM"/>
        <s v="MAA-DEL"/>
        <s v="BLR-CCU"/>
      </sharedItems>
    </cacheField>
    <cacheField name="Route Name" numFmtId="0">
      <sharedItems count="10">
        <s v="Delhi - Goa"/>
        <s v="Bengaluru - Hyderabad"/>
        <s v="Calacatta - Delhi"/>
        <s v="Bengaluru - Cochin"/>
        <s v="Delhi - Bombay"/>
        <s v="Bengaluru - Delhi"/>
        <s v="Bombay - Hyderabad"/>
        <s v="Bengaluru - Bombay"/>
        <s v="Madras - Delhi"/>
        <s v="Bengaluru - Calacatta"/>
      </sharedItems>
    </cacheField>
    <cacheField name="Aircraft_Type" numFmtId="0">
      <sharedItems count="3">
        <s v="ATR72-600"/>
        <s v="A320neo"/>
        <s v="A321neo"/>
      </sharedItems>
    </cacheField>
    <cacheField name="Passengers" numFmtId="0">
      <sharedItems containsSemiMixedTypes="0" containsString="0" containsNumber="1" containsInteger="1" minValue="46" maxValue="227"/>
    </cacheField>
    <cacheField name="Seat_Capacity" numFmtId="0">
      <sharedItems containsSemiMixedTypes="0" containsString="0" containsNumber="1" containsInteger="1" minValue="78" maxValue="232"/>
    </cacheField>
    <cacheField name="Seats_Available" numFmtId="0">
      <sharedItems containsSemiMixedTypes="0" containsString="0" containsNumber="1" containsInteger="1" minValue="2" maxValue="93"/>
    </cacheField>
    <cacheField name="Load_Factor_%" numFmtId="0">
      <sharedItems containsSemiMixedTypes="0" containsString="0" containsNumber="1" minValue="58.97" maxValue="97.84"/>
    </cacheField>
    <cacheField name="Factor_Level" numFmtId="0">
      <sharedItems count="3">
        <s v="Intermediate"/>
        <s v="High"/>
        <s v="Low"/>
      </sharedItems>
    </cacheField>
    <cacheField name="Ticket_Revenue_INR" numFmtId="164">
      <sharedItems containsSemiMixedTypes="0" containsString="0" containsNumber="1" containsInteger="1" minValue="176731" maxValue="1993154"/>
    </cacheField>
    <cacheField name="Cargo_Revenue_INR" numFmtId="164">
      <sharedItems containsSemiMixedTypes="0" containsString="0" containsNumber="1" containsInteger="1" minValue="15118" maxValue="149758"/>
    </cacheField>
    <cacheField name="Total_Revenue" numFmtId="164">
      <sharedItems containsSemiMixedTypes="0" containsString="0" containsNumber="1" containsInteger="1" minValue="217699" maxValue="2123112"/>
    </cacheField>
    <cacheField name="Fuel_Cost_INR" numFmtId="164">
      <sharedItems containsSemiMixedTypes="0" containsString="0" containsNumber="1" containsInteger="1" minValue="253251" maxValue="1199424"/>
    </cacheField>
    <cacheField name="Operating_Cost_INR" numFmtId="164">
      <sharedItems containsSemiMixedTypes="0" containsString="0" containsNumber="1" containsInteger="1" minValue="364116" maxValue="1850834"/>
    </cacheField>
    <cacheField name="Total_Cost" numFmtId="164">
      <sharedItems containsSemiMixedTypes="0" containsString="0" containsNumber="1" containsInteger="1" minValue="617367" maxValue="3043985"/>
    </cacheField>
    <cacheField name="Total_Profit" numFmtId="164">
      <sharedItems containsSemiMixedTypes="0" containsString="0" containsNumber="1" containsInteger="1" minValue="-2739208" maxValue="974621"/>
    </cacheField>
    <cacheField name="Profit_Margin_%" numFmtId="166">
      <sharedItems containsSemiMixedTypes="0" containsString="0" containsNumber="1" minValue="-10.639819199904455" maxValue="0.49799345560974012"/>
    </cacheField>
    <cacheField name="Delay_Minutes" numFmtId="1">
      <sharedItems containsSemiMixedTypes="0" containsString="0" containsNumber="1" containsInteger="1" minValue="0" maxValue="90"/>
    </cacheField>
    <cacheField name="On_Time" numFmtId="49">
      <sharedItems/>
    </cacheField>
    <cacheField name="Customer_Rating" numFmtId="165">
      <sharedItems containsSemiMixedTypes="0" containsString="0" containsNumber="1" minValue="3.2" maxValue="4.9000000000000004"/>
    </cacheField>
    <cacheField name="Satisfaction Level" numFmtId="0">
      <sharedItems/>
    </cacheField>
  </cacheFields>
  <extLst>
    <ext xmlns:x14="http://schemas.microsoft.com/office/spreadsheetml/2009/9/main" uri="{725AE2AE-9491-48be-B2B4-4EB974FC3084}">
      <x14:pivotCacheDefinition pivotCacheId="213916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6E1002"/>
    <d v="2025-05-04T00:00:00"/>
    <x v="0"/>
    <x v="0"/>
    <x v="0"/>
    <x v="0"/>
    <x v="0"/>
    <n v="52"/>
    <n v="78"/>
    <n v="26"/>
    <n v="66.67"/>
    <x v="0"/>
    <n v="416298"/>
    <n v="137633"/>
    <n v="553931"/>
    <n v="553962"/>
    <n v="917488"/>
    <n v="1471450"/>
    <n v="-917519"/>
    <n v="-1.6563777799039954"/>
    <n v="32"/>
    <s v="No"/>
    <n v="4.5999999999999996"/>
    <s v="Excellent"/>
  </r>
  <r>
    <s v="6E1003"/>
    <d v="2025-06-29T00:00:00"/>
    <x v="0"/>
    <x v="1"/>
    <x v="1"/>
    <x v="1"/>
    <x v="0"/>
    <n v="69"/>
    <n v="78"/>
    <n v="9"/>
    <n v="88.46"/>
    <x v="1"/>
    <n v="433932"/>
    <n v="123900"/>
    <n v="557832"/>
    <n v="1081206"/>
    <n v="1579555"/>
    <n v="2660761"/>
    <n v="-2102929"/>
    <n v="-3.7698249652225044"/>
    <n v="51"/>
    <s v="No"/>
    <n v="4.5999999999999996"/>
    <s v="Excellent"/>
  </r>
  <r>
    <s v="6E1004"/>
    <d v="2025-05-18T00:00:00"/>
    <x v="0"/>
    <x v="0"/>
    <x v="0"/>
    <x v="0"/>
    <x v="1"/>
    <n v="156"/>
    <n v="180"/>
    <n v="24"/>
    <n v="86.67"/>
    <x v="1"/>
    <n v="1160664"/>
    <n v="88975"/>
    <n v="1249639"/>
    <n v="571295"/>
    <n v="1181899"/>
    <n v="1753194"/>
    <n v="-503555"/>
    <n v="-0.40296037495628739"/>
    <n v="59"/>
    <s v="No"/>
    <n v="4"/>
    <s v="Excellent"/>
  </r>
  <r>
    <s v="6E1005"/>
    <d v="2025-07-01T00:00:00"/>
    <x v="0"/>
    <x v="2"/>
    <x v="1"/>
    <x v="1"/>
    <x v="1"/>
    <n v="119"/>
    <n v="180"/>
    <n v="61"/>
    <n v="66.11"/>
    <x v="0"/>
    <n v="563493"/>
    <n v="94456"/>
    <n v="657949"/>
    <n v="667033"/>
    <n v="1061516"/>
    <n v="1728549"/>
    <n v="-1070600"/>
    <n v="-1.6271777903758498"/>
    <n v="58"/>
    <s v="No"/>
    <n v="4"/>
    <s v="Excellent"/>
  </r>
  <r>
    <s v="6E1006"/>
    <d v="2025-12-14T00:00:00"/>
    <x v="0"/>
    <x v="3"/>
    <x v="2"/>
    <x v="2"/>
    <x v="1"/>
    <n v="160"/>
    <n v="180"/>
    <n v="20"/>
    <n v="88.89"/>
    <x v="1"/>
    <n v="1412044"/>
    <n v="38174"/>
    <n v="1450218"/>
    <n v="538384"/>
    <n v="1144881"/>
    <n v="1683265"/>
    <n v="-233047"/>
    <n v="-0.16069790886611529"/>
    <n v="88"/>
    <s v="No"/>
    <n v="4.8"/>
    <s v="Excellent"/>
  </r>
  <r>
    <s v="6E1007"/>
    <d v="2025-03-04T00:00:00"/>
    <x v="0"/>
    <x v="4"/>
    <x v="3"/>
    <x v="3"/>
    <x v="1"/>
    <n v="120"/>
    <n v="180"/>
    <n v="60"/>
    <n v="66.67"/>
    <x v="0"/>
    <n v="1076575"/>
    <n v="23868"/>
    <n v="1100443"/>
    <n v="595707"/>
    <n v="701587"/>
    <n v="1297294"/>
    <n v="-196851"/>
    <n v="-0.17888341331627353"/>
    <n v="13"/>
    <s v="Yes"/>
    <n v="3.6"/>
    <s v="Good"/>
  </r>
  <r>
    <s v="6E1008"/>
    <d v="2025-05-15T00:00:00"/>
    <x v="0"/>
    <x v="0"/>
    <x v="4"/>
    <x v="4"/>
    <x v="0"/>
    <n v="61"/>
    <n v="78"/>
    <n v="17"/>
    <n v="78.209999999999994"/>
    <x v="0"/>
    <n v="525482"/>
    <n v="18066"/>
    <n v="543548"/>
    <n v="775146"/>
    <n v="1167203"/>
    <n v="1942349"/>
    <n v="-1398801"/>
    <n v="-2.5734636131491606"/>
    <n v="77"/>
    <s v="No"/>
    <n v="4.4000000000000004"/>
    <s v="Excellent"/>
  </r>
  <r>
    <s v="6E1009"/>
    <d v="2025-09-09T00:00:00"/>
    <x v="0"/>
    <x v="5"/>
    <x v="5"/>
    <x v="5"/>
    <x v="0"/>
    <n v="58"/>
    <n v="78"/>
    <n v="20"/>
    <n v="74.36"/>
    <x v="0"/>
    <n v="278077"/>
    <n v="81793"/>
    <n v="359870"/>
    <n v="903917"/>
    <n v="1089040"/>
    <n v="1992957"/>
    <n v="-1633087"/>
    <n v="-4.5379914969294468"/>
    <n v="66"/>
    <s v="No"/>
    <n v="3.5"/>
    <s v="Good"/>
  </r>
  <r>
    <s v="6E1010"/>
    <d v="2025-04-11T00:00:00"/>
    <x v="0"/>
    <x v="6"/>
    <x v="6"/>
    <x v="6"/>
    <x v="2"/>
    <n v="150"/>
    <n v="232"/>
    <n v="82"/>
    <n v="64.66"/>
    <x v="0"/>
    <n v="560539"/>
    <n v="71419"/>
    <n v="631958"/>
    <n v="326492"/>
    <n v="780855"/>
    <n v="1107347"/>
    <n v="-475389"/>
    <n v="-0.75224777595979475"/>
    <n v="28"/>
    <s v="No"/>
    <n v="4"/>
    <s v="Excellent"/>
  </r>
  <r>
    <s v="6E1011"/>
    <d v="2025-06-20T00:00:00"/>
    <x v="0"/>
    <x v="1"/>
    <x v="4"/>
    <x v="4"/>
    <x v="1"/>
    <n v="143"/>
    <n v="180"/>
    <n v="37"/>
    <n v="79.44"/>
    <x v="0"/>
    <n v="1199770"/>
    <n v="47837"/>
    <n v="1247607"/>
    <n v="350273"/>
    <n v="569894"/>
    <n v="920167"/>
    <n v="327440"/>
    <n v="0.26245444278526814"/>
    <n v="62"/>
    <s v="No"/>
    <n v="4.5"/>
    <s v="Excellent"/>
  </r>
  <r>
    <s v="6E1012"/>
    <d v="2025-12-17T00:00:00"/>
    <x v="0"/>
    <x v="3"/>
    <x v="3"/>
    <x v="3"/>
    <x v="1"/>
    <n v="176"/>
    <n v="180"/>
    <n v="4"/>
    <n v="97.78"/>
    <x v="1"/>
    <n v="1405015"/>
    <n v="105673"/>
    <n v="1510688"/>
    <n v="627493"/>
    <n v="1041494"/>
    <n v="1668987"/>
    <n v="-158299"/>
    <n v="-0.10478603126522486"/>
    <n v="75"/>
    <s v="No"/>
    <n v="3.8"/>
    <s v="Good"/>
  </r>
  <r>
    <s v="6E1013"/>
    <d v="2025-10-19T00:00:00"/>
    <x v="0"/>
    <x v="7"/>
    <x v="3"/>
    <x v="3"/>
    <x v="1"/>
    <n v="143"/>
    <n v="180"/>
    <n v="37"/>
    <n v="79.44"/>
    <x v="0"/>
    <n v="864445"/>
    <n v="19002"/>
    <n v="883447"/>
    <n v="452383"/>
    <n v="869213"/>
    <n v="1321596"/>
    <n v="-438149"/>
    <n v="-0.49595391687333817"/>
    <n v="68"/>
    <s v="No"/>
    <n v="4.5"/>
    <s v="Excellent"/>
  </r>
  <r>
    <s v="6E1014"/>
    <d v="2025-05-15T00:00:00"/>
    <x v="0"/>
    <x v="0"/>
    <x v="3"/>
    <x v="3"/>
    <x v="1"/>
    <n v="108"/>
    <n v="180"/>
    <n v="72"/>
    <n v="60"/>
    <x v="0"/>
    <n v="680336"/>
    <n v="128190"/>
    <n v="808526"/>
    <n v="488979"/>
    <n v="957702"/>
    <n v="1446681"/>
    <n v="-638155"/>
    <n v="-0.78928197732664129"/>
    <n v="8"/>
    <s v="Yes"/>
    <n v="4"/>
    <s v="Excellent"/>
  </r>
  <r>
    <s v="6E1015"/>
    <d v="2025-07-04T00:00:00"/>
    <x v="0"/>
    <x v="2"/>
    <x v="1"/>
    <x v="1"/>
    <x v="0"/>
    <n v="62"/>
    <n v="78"/>
    <n v="16"/>
    <n v="79.489999999999995"/>
    <x v="0"/>
    <n v="252119"/>
    <n v="57564"/>
    <n v="309683"/>
    <n v="976509"/>
    <n v="1250413"/>
    <n v="2226922"/>
    <n v="-1917239"/>
    <n v="-6.1909727043460574"/>
    <n v="60"/>
    <s v="No"/>
    <n v="3.2"/>
    <s v="Good"/>
  </r>
  <r>
    <s v="6E1016"/>
    <d v="2025-11-16T00:00:00"/>
    <x v="0"/>
    <x v="8"/>
    <x v="0"/>
    <x v="0"/>
    <x v="0"/>
    <n v="60"/>
    <n v="78"/>
    <n v="18"/>
    <n v="76.92"/>
    <x v="0"/>
    <n v="358179"/>
    <n v="119557"/>
    <n v="477736"/>
    <n v="1102755"/>
    <n v="1329274"/>
    <n v="2432029"/>
    <n v="-1954293"/>
    <n v="-4.0907383994507427"/>
    <n v="23"/>
    <s v="No"/>
    <n v="3.4"/>
    <s v="Good"/>
  </r>
  <r>
    <s v="6E1017"/>
    <d v="2025-11-04T00:00:00"/>
    <x v="0"/>
    <x v="8"/>
    <x v="5"/>
    <x v="5"/>
    <x v="0"/>
    <n v="46"/>
    <n v="78"/>
    <n v="32"/>
    <n v="58.97"/>
    <x v="2"/>
    <n v="229070"/>
    <n v="98425"/>
    <n v="327495"/>
    <n v="695113"/>
    <n v="1033032"/>
    <n v="1728145"/>
    <n v="-1400650"/>
    <n v="-4.2768591886899037"/>
    <n v="36"/>
    <s v="No"/>
    <n v="4.5999999999999996"/>
    <s v="Excellent"/>
  </r>
  <r>
    <s v="6E1018"/>
    <d v="2025-05-19T00:00:00"/>
    <x v="0"/>
    <x v="0"/>
    <x v="7"/>
    <x v="7"/>
    <x v="2"/>
    <n v="207"/>
    <n v="232"/>
    <n v="25"/>
    <n v="89.22"/>
    <x v="1"/>
    <n v="1517723"/>
    <n v="38841"/>
    <n v="1556564"/>
    <n v="395556"/>
    <n v="657365"/>
    <n v="1052921"/>
    <n v="503643"/>
    <n v="0.32356074019442826"/>
    <n v="6"/>
    <s v="Yes"/>
    <n v="3.5"/>
    <s v="Good"/>
  </r>
  <r>
    <s v="6E1019"/>
    <d v="2025-07-06T00:00:00"/>
    <x v="0"/>
    <x v="2"/>
    <x v="5"/>
    <x v="5"/>
    <x v="2"/>
    <n v="220"/>
    <n v="232"/>
    <n v="12"/>
    <n v="94.83"/>
    <x v="1"/>
    <n v="1022492"/>
    <n v="128868"/>
    <n v="1151360"/>
    <n v="1199424"/>
    <n v="1611052"/>
    <n v="2810476"/>
    <n v="-1659116"/>
    <n v="-1.4410054196775988"/>
    <n v="12"/>
    <s v="Yes"/>
    <n v="4.5"/>
    <s v="Excellent"/>
  </r>
  <r>
    <s v="6E1020"/>
    <d v="2025-09-13T00:00:00"/>
    <x v="0"/>
    <x v="5"/>
    <x v="7"/>
    <x v="7"/>
    <x v="2"/>
    <n v="206"/>
    <n v="232"/>
    <n v="26"/>
    <n v="88.79"/>
    <x v="1"/>
    <n v="1663426"/>
    <n v="92596"/>
    <n v="1756022"/>
    <n v="699917"/>
    <n v="1314679"/>
    <n v="2014596"/>
    <n v="-258574"/>
    <n v="-0.14724986361218709"/>
    <n v="27"/>
    <s v="No"/>
    <n v="4.4000000000000004"/>
    <s v="Excellent"/>
  </r>
  <r>
    <s v="6E1021"/>
    <d v="2025-08-24T00:00:00"/>
    <x v="0"/>
    <x v="9"/>
    <x v="1"/>
    <x v="1"/>
    <x v="2"/>
    <n v="167"/>
    <n v="232"/>
    <n v="65"/>
    <n v="71.98"/>
    <x v="0"/>
    <n v="597979"/>
    <n v="108783"/>
    <n v="706762"/>
    <n v="538692"/>
    <n v="1122269"/>
    <n v="1660961"/>
    <n v="-954199"/>
    <n v="-1.350099467713318"/>
    <n v="8"/>
    <s v="Yes"/>
    <n v="4.3"/>
    <s v="Excellent"/>
  </r>
  <r>
    <s v="6E1022"/>
    <d v="2025-09-20T00:00:00"/>
    <x v="0"/>
    <x v="5"/>
    <x v="4"/>
    <x v="4"/>
    <x v="1"/>
    <n v="127"/>
    <n v="180"/>
    <n v="53"/>
    <n v="70.56"/>
    <x v="0"/>
    <n v="847210"/>
    <n v="70310"/>
    <n v="917520"/>
    <n v="889914"/>
    <n v="1148596"/>
    <n v="2038510"/>
    <n v="-1120990"/>
    <n v="-1.2217608335513122"/>
    <n v="4"/>
    <s v="Yes"/>
    <n v="4.3"/>
    <s v="Excellent"/>
  </r>
  <r>
    <s v="6E1023"/>
    <d v="2025-10-03T00:00:00"/>
    <x v="0"/>
    <x v="7"/>
    <x v="6"/>
    <x v="6"/>
    <x v="1"/>
    <n v="146"/>
    <n v="180"/>
    <n v="34"/>
    <n v="81.11"/>
    <x v="0"/>
    <n v="989633"/>
    <n v="97579"/>
    <n v="1087212"/>
    <n v="381248"/>
    <n v="595995"/>
    <n v="977243"/>
    <n v="109969"/>
    <n v="0.10114770624312462"/>
    <n v="66"/>
    <s v="No"/>
    <n v="4.5"/>
    <s v="Excellent"/>
  </r>
  <r>
    <s v="6E1024"/>
    <d v="2025-06-22T00:00:00"/>
    <x v="0"/>
    <x v="1"/>
    <x v="7"/>
    <x v="7"/>
    <x v="1"/>
    <n v="148"/>
    <n v="180"/>
    <n v="32"/>
    <n v="82.22"/>
    <x v="0"/>
    <n v="1010900"/>
    <n v="86393"/>
    <n v="1097293"/>
    <n v="486815"/>
    <n v="602843"/>
    <n v="1089658"/>
    <n v="7635"/>
    <n v="6.9580321755447266E-3"/>
    <n v="81"/>
    <s v="No"/>
    <n v="3.8"/>
    <s v="Good"/>
  </r>
  <r>
    <s v="6E1025"/>
    <d v="2025-06-04T00:00:00"/>
    <x v="0"/>
    <x v="1"/>
    <x v="2"/>
    <x v="2"/>
    <x v="1"/>
    <n v="173"/>
    <n v="180"/>
    <n v="7"/>
    <n v="96.11"/>
    <x v="1"/>
    <n v="1124354"/>
    <n v="77244"/>
    <n v="1201598"/>
    <n v="1121815"/>
    <n v="1363943"/>
    <n v="2485758"/>
    <n v="-1284160"/>
    <n v="-1.068710167626777"/>
    <n v="83"/>
    <s v="No"/>
    <n v="3.3"/>
    <s v="Good"/>
  </r>
  <r>
    <s v="6E1026"/>
    <d v="2025-01-17T00:00:00"/>
    <x v="0"/>
    <x v="10"/>
    <x v="8"/>
    <x v="8"/>
    <x v="2"/>
    <n v="214"/>
    <n v="232"/>
    <n v="18"/>
    <n v="92.24"/>
    <x v="1"/>
    <n v="940084"/>
    <n v="148323"/>
    <n v="1088407"/>
    <n v="294213"/>
    <n v="481247"/>
    <n v="775460"/>
    <n v="312947"/>
    <n v="0.28752755173386424"/>
    <n v="51"/>
    <s v="No"/>
    <n v="4"/>
    <s v="Excellent"/>
  </r>
  <r>
    <s v="6E1027"/>
    <d v="2025-12-23T00:00:00"/>
    <x v="0"/>
    <x v="3"/>
    <x v="6"/>
    <x v="6"/>
    <x v="2"/>
    <n v="197"/>
    <n v="232"/>
    <n v="35"/>
    <n v="84.91"/>
    <x v="0"/>
    <n v="1425114"/>
    <n v="88822"/>
    <n v="1513936"/>
    <n v="822844"/>
    <n v="1174756"/>
    <n v="1997600"/>
    <n v="-483664"/>
    <n v="-0.31947453525115987"/>
    <n v="40"/>
    <s v="No"/>
    <n v="3.5"/>
    <s v="Good"/>
  </r>
  <r>
    <s v="6E1028"/>
    <d v="2025-10-01T00:00:00"/>
    <x v="0"/>
    <x v="7"/>
    <x v="8"/>
    <x v="8"/>
    <x v="1"/>
    <n v="115"/>
    <n v="180"/>
    <n v="65"/>
    <n v="63.89"/>
    <x v="0"/>
    <n v="462419"/>
    <n v="55545"/>
    <n v="517964"/>
    <n v="305586"/>
    <n v="826616"/>
    <n v="1132202"/>
    <n v="-614238"/>
    <n v="-1.1858700604675227"/>
    <n v="36"/>
    <s v="No"/>
    <n v="3.4"/>
    <s v="Good"/>
  </r>
  <r>
    <s v="6E1029"/>
    <d v="2025-11-22T00:00:00"/>
    <x v="0"/>
    <x v="8"/>
    <x v="7"/>
    <x v="7"/>
    <x v="1"/>
    <n v="110"/>
    <n v="180"/>
    <n v="70"/>
    <n v="61.11"/>
    <x v="0"/>
    <n v="544600"/>
    <n v="102380"/>
    <n v="646980"/>
    <n v="1051917"/>
    <n v="1334628"/>
    <n v="2386545"/>
    <n v="-1739565"/>
    <n v="-2.6887461745339887"/>
    <n v="67"/>
    <s v="No"/>
    <n v="4.3"/>
    <s v="Excellent"/>
  </r>
  <r>
    <s v="6E1030"/>
    <d v="2025-07-30T00:00:00"/>
    <x v="0"/>
    <x v="2"/>
    <x v="0"/>
    <x v="0"/>
    <x v="1"/>
    <n v="126"/>
    <n v="180"/>
    <n v="54"/>
    <n v="70"/>
    <x v="0"/>
    <n v="949025"/>
    <n v="99945"/>
    <n v="1048970"/>
    <n v="1184283"/>
    <n v="1509894"/>
    <n v="2694177"/>
    <n v="-1645207"/>
    <n v="-1.568402337531102"/>
    <n v="88"/>
    <s v="No"/>
    <n v="3.5"/>
    <s v="Good"/>
  </r>
  <r>
    <s v="6E1031"/>
    <d v="2025-08-02T00:00:00"/>
    <x v="0"/>
    <x v="9"/>
    <x v="0"/>
    <x v="0"/>
    <x v="2"/>
    <n v="176"/>
    <n v="232"/>
    <n v="56"/>
    <n v="75.86"/>
    <x v="0"/>
    <n v="1248312"/>
    <n v="116276"/>
    <n v="1364588"/>
    <n v="696227"/>
    <n v="1106264"/>
    <n v="1802491"/>
    <n v="-437903"/>
    <n v="-0.32090491782134972"/>
    <n v="86"/>
    <s v="No"/>
    <n v="4.8"/>
    <s v="Excellent"/>
  </r>
  <r>
    <s v="6E1032"/>
    <d v="2025-08-13T00:00:00"/>
    <x v="0"/>
    <x v="9"/>
    <x v="1"/>
    <x v="1"/>
    <x v="0"/>
    <n v="61"/>
    <n v="78"/>
    <n v="17"/>
    <n v="78.209999999999994"/>
    <x v="0"/>
    <n v="441494"/>
    <n v="63435"/>
    <n v="504929"/>
    <n v="885409"/>
    <n v="1189735"/>
    <n v="2075144"/>
    <n v="-1570215"/>
    <n v="-3.109773849392687"/>
    <n v="68"/>
    <s v="No"/>
    <n v="3.8"/>
    <s v="Good"/>
  </r>
  <r>
    <s v="6E1033"/>
    <d v="2025-02-21T00:00:00"/>
    <x v="0"/>
    <x v="11"/>
    <x v="0"/>
    <x v="0"/>
    <x v="0"/>
    <n v="59"/>
    <n v="78"/>
    <n v="19"/>
    <n v="75.64"/>
    <x v="0"/>
    <n v="418353"/>
    <n v="90115"/>
    <n v="508468"/>
    <n v="274558"/>
    <n v="452061"/>
    <n v="726619"/>
    <n v="-218151"/>
    <n v="-0.42903584886364532"/>
    <n v="80"/>
    <s v="No"/>
    <n v="4"/>
    <s v="Excellent"/>
  </r>
  <r>
    <s v="6E1034"/>
    <d v="2025-05-28T00:00:00"/>
    <x v="0"/>
    <x v="0"/>
    <x v="7"/>
    <x v="7"/>
    <x v="0"/>
    <n v="72"/>
    <n v="78"/>
    <n v="6"/>
    <n v="92.31"/>
    <x v="1"/>
    <n v="435738"/>
    <n v="90453"/>
    <n v="526191"/>
    <n v="799244"/>
    <n v="1328017"/>
    <n v="2127261"/>
    <n v="-1601070"/>
    <n v="-3.042754437077031"/>
    <n v="74"/>
    <s v="No"/>
    <n v="3.6"/>
    <s v="Good"/>
  </r>
  <r>
    <s v="6E1035"/>
    <d v="2025-12-14T00:00:00"/>
    <x v="0"/>
    <x v="3"/>
    <x v="6"/>
    <x v="6"/>
    <x v="2"/>
    <n v="206"/>
    <n v="232"/>
    <n v="26"/>
    <n v="88.79"/>
    <x v="1"/>
    <n v="802233"/>
    <n v="144931"/>
    <n v="947164"/>
    <n v="262055"/>
    <n v="494240"/>
    <n v="756295"/>
    <n v="190869"/>
    <n v="0.20151631607620221"/>
    <n v="87"/>
    <s v="No"/>
    <n v="4.2"/>
    <s v="Excellent"/>
  </r>
  <r>
    <s v="6E1036"/>
    <d v="2025-11-04T00:00:00"/>
    <x v="0"/>
    <x v="8"/>
    <x v="3"/>
    <x v="3"/>
    <x v="2"/>
    <n v="210"/>
    <n v="232"/>
    <n v="22"/>
    <n v="90.52"/>
    <x v="1"/>
    <n v="790110"/>
    <n v="63250"/>
    <n v="853360"/>
    <n v="1009113"/>
    <n v="1413409"/>
    <n v="2422522"/>
    <n v="-1569162"/>
    <n v="-1.8388042561169964"/>
    <n v="12"/>
    <s v="Yes"/>
    <n v="4.8"/>
    <s v="Excellent"/>
  </r>
  <r>
    <s v="6E1037"/>
    <d v="2025-10-27T00:00:00"/>
    <x v="0"/>
    <x v="7"/>
    <x v="7"/>
    <x v="7"/>
    <x v="1"/>
    <n v="144"/>
    <n v="180"/>
    <n v="36"/>
    <n v="80"/>
    <x v="0"/>
    <n v="1148986"/>
    <n v="72223"/>
    <n v="1221209"/>
    <n v="959639"/>
    <n v="1449606"/>
    <n v="2409245"/>
    <n v="-1188036"/>
    <n v="-0.97283593553601388"/>
    <n v="61"/>
    <s v="No"/>
    <n v="4.5"/>
    <s v="Excellent"/>
  </r>
  <r>
    <s v="6E1038"/>
    <d v="2025-06-11T00:00:00"/>
    <x v="0"/>
    <x v="1"/>
    <x v="2"/>
    <x v="2"/>
    <x v="1"/>
    <n v="155"/>
    <n v="180"/>
    <n v="25"/>
    <n v="86.11"/>
    <x v="1"/>
    <n v="1005730"/>
    <n v="30538"/>
    <n v="1036268"/>
    <n v="267803"/>
    <n v="375957"/>
    <n v="643760"/>
    <n v="392508"/>
    <n v="0.37877074270362493"/>
    <n v="7"/>
    <s v="Yes"/>
    <n v="3.6"/>
    <s v="Good"/>
  </r>
  <r>
    <s v="6E1039"/>
    <d v="2025-07-07T00:00:00"/>
    <x v="0"/>
    <x v="2"/>
    <x v="1"/>
    <x v="1"/>
    <x v="1"/>
    <n v="153"/>
    <n v="180"/>
    <n v="27"/>
    <n v="85"/>
    <x v="1"/>
    <n v="1132402"/>
    <n v="32216"/>
    <n v="1164618"/>
    <n v="435095"/>
    <n v="1024285"/>
    <n v="1459380"/>
    <n v="-294762"/>
    <n v="-0.25309758221150624"/>
    <n v="50"/>
    <s v="No"/>
    <n v="4.4000000000000004"/>
    <s v="Excellent"/>
  </r>
  <r>
    <s v="6E1040"/>
    <d v="2025-07-03T00:00:00"/>
    <x v="0"/>
    <x v="2"/>
    <x v="1"/>
    <x v="1"/>
    <x v="2"/>
    <n v="210"/>
    <n v="232"/>
    <n v="22"/>
    <n v="90.52"/>
    <x v="1"/>
    <n v="1104839"/>
    <n v="69140"/>
    <n v="1173979"/>
    <n v="566810"/>
    <n v="1196556"/>
    <n v="1763366"/>
    <n v="-589387"/>
    <n v="-0.50204220007342548"/>
    <n v="6"/>
    <s v="Yes"/>
    <n v="4.7"/>
    <s v="Excellent"/>
  </r>
  <r>
    <s v="6E1041"/>
    <d v="2025-08-03T00:00:00"/>
    <x v="0"/>
    <x v="9"/>
    <x v="1"/>
    <x v="1"/>
    <x v="0"/>
    <n v="72"/>
    <n v="78"/>
    <n v="6"/>
    <n v="92.31"/>
    <x v="1"/>
    <n v="424528"/>
    <n v="91877"/>
    <n v="516405"/>
    <n v="1018863"/>
    <n v="1561802"/>
    <n v="2580665"/>
    <n v="-2064260"/>
    <n v="-3.9973664081486429"/>
    <n v="60"/>
    <s v="No"/>
    <n v="4.5999999999999996"/>
    <s v="Excellent"/>
  </r>
  <r>
    <s v="6E1042"/>
    <d v="2025-04-28T00:00:00"/>
    <x v="0"/>
    <x v="6"/>
    <x v="1"/>
    <x v="1"/>
    <x v="2"/>
    <n v="210"/>
    <n v="232"/>
    <n v="22"/>
    <n v="90.52"/>
    <x v="1"/>
    <n v="1370473"/>
    <n v="35485"/>
    <n v="1405958"/>
    <n v="549553"/>
    <n v="1170645"/>
    <n v="1720198"/>
    <n v="-314240"/>
    <n v="-0.22350596532755601"/>
    <n v="84"/>
    <s v="No"/>
    <n v="3.9"/>
    <s v="Good"/>
  </r>
  <r>
    <s v="6E1043"/>
    <d v="2025-01-13T00:00:00"/>
    <x v="0"/>
    <x v="10"/>
    <x v="1"/>
    <x v="1"/>
    <x v="0"/>
    <n v="68"/>
    <n v="78"/>
    <n v="10"/>
    <n v="87.18"/>
    <x v="1"/>
    <n v="501946"/>
    <n v="37134"/>
    <n v="539080"/>
    <n v="1137452"/>
    <n v="1633847"/>
    <n v="2771299"/>
    <n v="-2232219"/>
    <n v="-4.1407935742375903"/>
    <n v="41"/>
    <s v="No"/>
    <n v="4.2"/>
    <s v="Excellent"/>
  </r>
  <r>
    <s v="6E1044"/>
    <d v="2025-10-14T00:00:00"/>
    <x v="0"/>
    <x v="7"/>
    <x v="6"/>
    <x v="6"/>
    <x v="2"/>
    <n v="209"/>
    <n v="232"/>
    <n v="23"/>
    <n v="90.09"/>
    <x v="1"/>
    <n v="1018380"/>
    <n v="23359"/>
    <n v="1041739"/>
    <n v="933027"/>
    <n v="1497383"/>
    <n v="2430410"/>
    <n v="-1388671"/>
    <n v="-1.3330315942860929"/>
    <n v="75"/>
    <s v="No"/>
    <n v="3.9"/>
    <s v="Good"/>
  </r>
  <r>
    <s v="6E1045"/>
    <d v="2025-06-12T00:00:00"/>
    <x v="0"/>
    <x v="1"/>
    <x v="3"/>
    <x v="3"/>
    <x v="0"/>
    <n v="46"/>
    <n v="78"/>
    <n v="32"/>
    <n v="58.97"/>
    <x v="2"/>
    <n v="356206"/>
    <n v="105680"/>
    <n v="461886"/>
    <n v="801240"/>
    <n v="902167"/>
    <n v="1703407"/>
    <n v="-1241521"/>
    <n v="-2.6879381492402885"/>
    <n v="18"/>
    <s v="No"/>
    <n v="3.4"/>
    <s v="Good"/>
  </r>
  <r>
    <s v="6E1046"/>
    <d v="2025-03-07T00:00:00"/>
    <x v="0"/>
    <x v="4"/>
    <x v="2"/>
    <x v="2"/>
    <x v="0"/>
    <n v="62"/>
    <n v="78"/>
    <n v="16"/>
    <n v="79.489999999999995"/>
    <x v="0"/>
    <n v="426836"/>
    <n v="34958"/>
    <n v="461794"/>
    <n v="1085180"/>
    <n v="1361873"/>
    <n v="2447053"/>
    <n v="-1985259"/>
    <n v="-4.2990142790941412"/>
    <n v="67"/>
    <s v="No"/>
    <n v="4.9000000000000004"/>
    <s v="Excellent"/>
  </r>
  <r>
    <s v="6E1047"/>
    <d v="2025-11-08T00:00:00"/>
    <x v="0"/>
    <x v="8"/>
    <x v="9"/>
    <x v="9"/>
    <x v="2"/>
    <n v="162"/>
    <n v="232"/>
    <n v="70"/>
    <n v="69.83"/>
    <x v="0"/>
    <n v="657048"/>
    <n v="50733"/>
    <n v="707781"/>
    <n v="766694"/>
    <n v="908398"/>
    <n v="1675092"/>
    <n v="-967311"/>
    <n v="-1.3666812191906819"/>
    <n v="52"/>
    <s v="No"/>
    <n v="4.5"/>
    <s v="Excellent"/>
  </r>
  <r>
    <s v="6E1048"/>
    <d v="2025-02-04T00:00:00"/>
    <x v="0"/>
    <x v="11"/>
    <x v="8"/>
    <x v="8"/>
    <x v="1"/>
    <n v="170"/>
    <n v="180"/>
    <n v="10"/>
    <n v="94.44"/>
    <x v="1"/>
    <n v="901160"/>
    <n v="62125"/>
    <n v="963285"/>
    <n v="484493"/>
    <n v="1162464"/>
    <n v="1646957"/>
    <n v="-683672"/>
    <n v="-0.70972972692401526"/>
    <n v="9"/>
    <s v="Yes"/>
    <n v="4.8"/>
    <s v="Excellent"/>
  </r>
  <r>
    <s v="6E1049"/>
    <d v="2025-05-25T00:00:00"/>
    <x v="0"/>
    <x v="0"/>
    <x v="6"/>
    <x v="6"/>
    <x v="1"/>
    <n v="144"/>
    <n v="180"/>
    <n v="36"/>
    <n v="80"/>
    <x v="0"/>
    <n v="845591"/>
    <n v="71410"/>
    <n v="917001"/>
    <n v="329726"/>
    <n v="829706"/>
    <n v="1159432"/>
    <n v="-242431"/>
    <n v="-0.26437375749862868"/>
    <n v="76"/>
    <s v="No"/>
    <n v="3.8"/>
    <s v="Good"/>
  </r>
  <r>
    <s v="6E1050"/>
    <d v="2025-06-19T00:00:00"/>
    <x v="0"/>
    <x v="1"/>
    <x v="1"/>
    <x v="1"/>
    <x v="2"/>
    <n v="227"/>
    <n v="232"/>
    <n v="5"/>
    <n v="97.84"/>
    <x v="1"/>
    <n v="1993154"/>
    <n v="129958"/>
    <n v="2123112"/>
    <n v="523530"/>
    <n v="934060"/>
    <n v="1457590"/>
    <n v="665522"/>
    <n v="0.31346532825399698"/>
    <n v="59"/>
    <s v="No"/>
    <n v="3.7"/>
    <s v="Good"/>
  </r>
  <r>
    <s v="6E1051"/>
    <d v="2025-08-09T00:00:00"/>
    <x v="0"/>
    <x v="9"/>
    <x v="2"/>
    <x v="2"/>
    <x v="2"/>
    <n v="186"/>
    <n v="232"/>
    <n v="46"/>
    <n v="80.17"/>
    <x v="0"/>
    <n v="1473965"/>
    <n v="73423"/>
    <n v="1547388"/>
    <n v="1009020"/>
    <n v="1205988"/>
    <n v="2215008"/>
    <n v="-667620"/>
    <n v="-0.43144964288206966"/>
    <n v="32"/>
    <s v="No"/>
    <n v="4.4000000000000004"/>
    <s v="Excellent"/>
  </r>
  <r>
    <s v="6E1052"/>
    <d v="2025-08-04T00:00:00"/>
    <x v="0"/>
    <x v="9"/>
    <x v="9"/>
    <x v="9"/>
    <x v="2"/>
    <n v="197"/>
    <n v="232"/>
    <n v="35"/>
    <n v="84.91"/>
    <x v="0"/>
    <n v="1287910"/>
    <n v="79947"/>
    <n v="1367857"/>
    <n v="305629"/>
    <n v="485187"/>
    <n v="790816"/>
    <n v="577041"/>
    <n v="0.42185769418879315"/>
    <n v="11"/>
    <s v="Yes"/>
    <n v="4.2"/>
    <s v="Excellent"/>
  </r>
  <r>
    <s v="6E1053"/>
    <d v="2025-06-03T00:00:00"/>
    <x v="0"/>
    <x v="1"/>
    <x v="9"/>
    <x v="9"/>
    <x v="2"/>
    <n v="156"/>
    <n v="232"/>
    <n v="76"/>
    <n v="67.239999999999995"/>
    <x v="0"/>
    <n v="725600"/>
    <n v="138307"/>
    <n v="863907"/>
    <n v="587180"/>
    <n v="731686"/>
    <n v="1318866"/>
    <n v="-454959"/>
    <n v="-0.52662960249193491"/>
    <n v="83"/>
    <s v="No"/>
    <n v="4"/>
    <s v="Excellent"/>
  </r>
  <r>
    <s v="6E1054"/>
    <d v="2025-07-01T00:00:00"/>
    <x v="0"/>
    <x v="2"/>
    <x v="1"/>
    <x v="1"/>
    <x v="0"/>
    <n v="59"/>
    <n v="78"/>
    <n v="19"/>
    <n v="75.64"/>
    <x v="0"/>
    <n v="395404"/>
    <n v="47970"/>
    <n v="443374"/>
    <n v="517013"/>
    <n v="913391"/>
    <n v="1430404"/>
    <n v="-987030"/>
    <n v="-2.2261792527302009"/>
    <n v="39"/>
    <s v="No"/>
    <n v="3.7"/>
    <s v="Good"/>
  </r>
  <r>
    <s v="6E1055"/>
    <d v="2025-07-11T00:00:00"/>
    <x v="0"/>
    <x v="2"/>
    <x v="1"/>
    <x v="1"/>
    <x v="1"/>
    <n v="151"/>
    <n v="180"/>
    <n v="29"/>
    <n v="83.89"/>
    <x v="0"/>
    <n v="931267"/>
    <n v="95933"/>
    <n v="1027200"/>
    <n v="978971"/>
    <n v="1487973"/>
    <n v="2466944"/>
    <n v="-1439744"/>
    <n v="-1.4016199376947041"/>
    <n v="69"/>
    <s v="No"/>
    <n v="4.3"/>
    <s v="Excellent"/>
  </r>
  <r>
    <s v="6E1056"/>
    <d v="2025-11-19T00:00:00"/>
    <x v="0"/>
    <x v="8"/>
    <x v="8"/>
    <x v="8"/>
    <x v="0"/>
    <n v="67"/>
    <n v="78"/>
    <n v="11"/>
    <n v="85.9"/>
    <x v="1"/>
    <n v="436243"/>
    <n v="146071"/>
    <n v="582314"/>
    <n v="293106"/>
    <n v="604765"/>
    <n v="897871"/>
    <n v="-315557"/>
    <n v="-0.5419017918167861"/>
    <n v="2"/>
    <s v="Yes"/>
    <n v="4.7"/>
    <s v="Excellent"/>
  </r>
  <r>
    <s v="6E1057"/>
    <d v="2025-09-22T00:00:00"/>
    <x v="0"/>
    <x v="5"/>
    <x v="7"/>
    <x v="7"/>
    <x v="2"/>
    <n v="216"/>
    <n v="232"/>
    <n v="16"/>
    <n v="93.1"/>
    <x v="1"/>
    <n v="1528461"/>
    <n v="144618"/>
    <n v="1673079"/>
    <n v="327137"/>
    <n v="960859"/>
    <n v="1287996"/>
    <n v="385083"/>
    <n v="0.23016426600298012"/>
    <n v="5"/>
    <s v="Yes"/>
    <n v="4.5"/>
    <s v="Excellent"/>
  </r>
  <r>
    <s v="6E1058"/>
    <d v="2025-08-06T00:00:00"/>
    <x v="0"/>
    <x v="9"/>
    <x v="8"/>
    <x v="8"/>
    <x v="2"/>
    <n v="141"/>
    <n v="232"/>
    <n v="91"/>
    <n v="60.78"/>
    <x v="0"/>
    <n v="1250365"/>
    <n v="104138"/>
    <n v="1354503"/>
    <n v="795253"/>
    <n v="1168886"/>
    <n v="1964139"/>
    <n v="-609636"/>
    <n v="-0.45008095220165623"/>
    <n v="46"/>
    <s v="No"/>
    <n v="4.5"/>
    <s v="Excellent"/>
  </r>
  <r>
    <s v="6E1059"/>
    <d v="2025-09-16T00:00:00"/>
    <x v="0"/>
    <x v="5"/>
    <x v="5"/>
    <x v="5"/>
    <x v="1"/>
    <n v="168"/>
    <n v="180"/>
    <n v="12"/>
    <n v="93.33"/>
    <x v="1"/>
    <n v="990095"/>
    <n v="68606"/>
    <n v="1058701"/>
    <n v="1178868"/>
    <n v="1755157"/>
    <n v="2934025"/>
    <n v="-1875324"/>
    <n v="-1.7713443172340444"/>
    <n v="28"/>
    <s v="No"/>
    <n v="4.8"/>
    <s v="Excellent"/>
  </r>
  <r>
    <s v="6E1060"/>
    <d v="2025-04-28T00:00:00"/>
    <x v="0"/>
    <x v="6"/>
    <x v="4"/>
    <x v="4"/>
    <x v="1"/>
    <n v="151"/>
    <n v="180"/>
    <n v="29"/>
    <n v="83.89"/>
    <x v="0"/>
    <n v="570344"/>
    <n v="70123"/>
    <n v="640467"/>
    <n v="758879"/>
    <n v="1193337"/>
    <n v="1952216"/>
    <n v="-1311749"/>
    <n v="-2.0481133298046581"/>
    <n v="48"/>
    <s v="No"/>
    <n v="3.3"/>
    <s v="Good"/>
  </r>
  <r>
    <s v="6E1061"/>
    <d v="2025-07-28T00:00:00"/>
    <x v="0"/>
    <x v="2"/>
    <x v="3"/>
    <x v="3"/>
    <x v="0"/>
    <n v="75"/>
    <n v="78"/>
    <n v="3"/>
    <n v="96.15"/>
    <x v="1"/>
    <n v="585532"/>
    <n v="16692"/>
    <n v="602224"/>
    <n v="568039"/>
    <n v="1044520"/>
    <n v="1612559"/>
    <n v="-1010335"/>
    <n v="-1.6776730917399505"/>
    <n v="76"/>
    <s v="No"/>
    <n v="4.5"/>
    <s v="Excellent"/>
  </r>
  <r>
    <s v="6E1062"/>
    <d v="2025-11-10T00:00:00"/>
    <x v="0"/>
    <x v="8"/>
    <x v="5"/>
    <x v="5"/>
    <x v="0"/>
    <n v="75"/>
    <n v="78"/>
    <n v="3"/>
    <n v="96.15"/>
    <x v="1"/>
    <n v="308922"/>
    <n v="94806"/>
    <n v="403728"/>
    <n v="922052"/>
    <n v="1507417"/>
    <n v="2429469"/>
    <n v="-2025741"/>
    <n v="-5.0175885744857922"/>
    <n v="75"/>
    <s v="No"/>
    <n v="4.0999999999999996"/>
    <s v="Excellent"/>
  </r>
  <r>
    <s v="6E1063"/>
    <d v="2025-09-19T00:00:00"/>
    <x v="0"/>
    <x v="5"/>
    <x v="5"/>
    <x v="5"/>
    <x v="1"/>
    <n v="119"/>
    <n v="180"/>
    <n v="61"/>
    <n v="66.11"/>
    <x v="0"/>
    <n v="746950"/>
    <n v="110581"/>
    <n v="857531"/>
    <n v="502179"/>
    <n v="1126233"/>
    <n v="1628412"/>
    <n v="-770881"/>
    <n v="-0.89895409028944728"/>
    <n v="84"/>
    <s v="No"/>
    <n v="3.9"/>
    <s v="Good"/>
  </r>
  <r>
    <s v="6E1064"/>
    <d v="2025-06-10T00:00:00"/>
    <x v="0"/>
    <x v="1"/>
    <x v="8"/>
    <x v="8"/>
    <x v="2"/>
    <n v="166"/>
    <n v="232"/>
    <n v="66"/>
    <n v="71.55"/>
    <x v="0"/>
    <n v="1176596"/>
    <n v="34431"/>
    <n v="1211027"/>
    <n v="1160890"/>
    <n v="1730071"/>
    <n v="2890961"/>
    <n v="-1679934"/>
    <n v="-1.3871978081413543"/>
    <n v="36"/>
    <s v="No"/>
    <n v="4"/>
    <s v="Excellent"/>
  </r>
  <r>
    <s v="6E1065"/>
    <d v="2025-05-14T00:00:00"/>
    <x v="0"/>
    <x v="0"/>
    <x v="4"/>
    <x v="4"/>
    <x v="1"/>
    <n v="144"/>
    <n v="180"/>
    <n v="36"/>
    <n v="80"/>
    <x v="0"/>
    <n v="1042643"/>
    <n v="26926"/>
    <n v="1069569"/>
    <n v="418785"/>
    <n v="867078"/>
    <n v="1285863"/>
    <n v="-216294"/>
    <n v="-0.20222538237364771"/>
    <n v="62"/>
    <s v="No"/>
    <n v="4.3"/>
    <s v="Excellent"/>
  </r>
  <r>
    <s v="6E1066"/>
    <d v="2025-06-12T00:00:00"/>
    <x v="0"/>
    <x v="1"/>
    <x v="7"/>
    <x v="7"/>
    <x v="2"/>
    <n v="222"/>
    <n v="232"/>
    <n v="10"/>
    <n v="95.69"/>
    <x v="1"/>
    <n v="1809683"/>
    <n v="136822"/>
    <n v="1946505"/>
    <n v="724487"/>
    <n v="961708"/>
    <n v="1686195"/>
    <n v="260310"/>
    <n v="0.13373199657848298"/>
    <n v="26"/>
    <s v="No"/>
    <n v="3.4"/>
    <s v="Good"/>
  </r>
  <r>
    <s v="6E1067"/>
    <d v="2025-10-21T00:00:00"/>
    <x v="0"/>
    <x v="7"/>
    <x v="7"/>
    <x v="7"/>
    <x v="0"/>
    <n v="49"/>
    <n v="78"/>
    <n v="29"/>
    <n v="62.82"/>
    <x v="0"/>
    <n v="259719"/>
    <n v="49391"/>
    <n v="309110"/>
    <n v="568045"/>
    <n v="776885"/>
    <n v="1344930"/>
    <n v="-1035820"/>
    <n v="-3.3509753809323541"/>
    <n v="87"/>
    <s v="No"/>
    <n v="4.3"/>
    <s v="Excellent"/>
  </r>
  <r>
    <s v="6E1068"/>
    <d v="2025-03-16T00:00:00"/>
    <x v="0"/>
    <x v="4"/>
    <x v="9"/>
    <x v="9"/>
    <x v="0"/>
    <n v="47"/>
    <n v="78"/>
    <n v="31"/>
    <n v="60.26"/>
    <x v="0"/>
    <n v="365973"/>
    <n v="52457"/>
    <n v="418430"/>
    <n v="913191"/>
    <n v="1311249"/>
    <n v="2224440"/>
    <n v="-1806010"/>
    <n v="-4.3161580192624811"/>
    <n v="75"/>
    <s v="No"/>
    <n v="4.2"/>
    <s v="Excellent"/>
  </r>
  <r>
    <s v="6E1069"/>
    <d v="2025-05-04T00:00:00"/>
    <x v="0"/>
    <x v="0"/>
    <x v="7"/>
    <x v="7"/>
    <x v="2"/>
    <n v="174"/>
    <n v="232"/>
    <n v="58"/>
    <n v="75"/>
    <x v="0"/>
    <n v="871216"/>
    <n v="98585"/>
    <n v="969801"/>
    <n v="958987"/>
    <n v="1435257"/>
    <n v="2394244"/>
    <n v="-1424443"/>
    <n v="-1.4687992691284089"/>
    <n v="83"/>
    <s v="No"/>
    <n v="4.7"/>
    <s v="Excellent"/>
  </r>
  <r>
    <s v="6E1070"/>
    <d v="2025-11-25T00:00:00"/>
    <x v="0"/>
    <x v="8"/>
    <x v="7"/>
    <x v="7"/>
    <x v="1"/>
    <n v="155"/>
    <n v="180"/>
    <n v="25"/>
    <n v="86.11"/>
    <x v="1"/>
    <n v="1073153"/>
    <n v="66171"/>
    <n v="1139324"/>
    <n v="1039894"/>
    <n v="1404300"/>
    <n v="2444194"/>
    <n v="-1304870"/>
    <n v="-1.1453019509814593"/>
    <n v="66"/>
    <s v="No"/>
    <n v="3.2"/>
    <s v="Good"/>
  </r>
  <r>
    <s v="6E1071"/>
    <d v="2025-10-03T00:00:00"/>
    <x v="0"/>
    <x v="7"/>
    <x v="6"/>
    <x v="6"/>
    <x v="0"/>
    <n v="61"/>
    <n v="78"/>
    <n v="17"/>
    <n v="78.209999999999994"/>
    <x v="0"/>
    <n v="546591"/>
    <n v="39897"/>
    <n v="586488"/>
    <n v="411442"/>
    <n v="1072293"/>
    <n v="1483735"/>
    <n v="-897247"/>
    <n v="-1.5298642086453602"/>
    <n v="59"/>
    <s v="No"/>
    <n v="3.9"/>
    <s v="Good"/>
  </r>
  <r>
    <s v="6E1072"/>
    <d v="2025-06-08T00:00:00"/>
    <x v="0"/>
    <x v="1"/>
    <x v="9"/>
    <x v="9"/>
    <x v="1"/>
    <n v="125"/>
    <n v="180"/>
    <n v="55"/>
    <n v="69.44"/>
    <x v="0"/>
    <n v="809014"/>
    <n v="46401"/>
    <n v="855415"/>
    <n v="1045703"/>
    <n v="1309371"/>
    <n v="2355074"/>
    <n v="-1499659"/>
    <n v="-1.7531361970505543"/>
    <n v="89"/>
    <s v="No"/>
    <n v="3.9"/>
    <s v="Good"/>
  </r>
  <r>
    <s v="6E1073"/>
    <d v="2025-12-23T00:00:00"/>
    <x v="0"/>
    <x v="3"/>
    <x v="2"/>
    <x v="2"/>
    <x v="2"/>
    <n v="139"/>
    <n v="232"/>
    <n v="93"/>
    <n v="59.91"/>
    <x v="2"/>
    <n v="1248617"/>
    <n v="60111"/>
    <n v="1308728"/>
    <n v="881441"/>
    <n v="1129041"/>
    <n v="2010482"/>
    <n v="-701754"/>
    <n v="-0.53621073286427734"/>
    <n v="49"/>
    <s v="No"/>
    <n v="4.0999999999999996"/>
    <s v="Excellent"/>
  </r>
  <r>
    <s v="6E1074"/>
    <d v="2025-12-31T00:00:00"/>
    <x v="0"/>
    <x v="3"/>
    <x v="8"/>
    <x v="8"/>
    <x v="1"/>
    <n v="125"/>
    <n v="180"/>
    <n v="55"/>
    <n v="69.44"/>
    <x v="0"/>
    <n v="924833"/>
    <n v="27766"/>
    <n v="952599"/>
    <n v="359187"/>
    <n v="970615"/>
    <n v="1329802"/>
    <n v="-377203"/>
    <n v="-0.39597249209793417"/>
    <n v="9"/>
    <s v="Yes"/>
    <n v="4.5"/>
    <s v="Excellent"/>
  </r>
  <r>
    <s v="6E1075"/>
    <d v="2025-04-07T00:00:00"/>
    <x v="0"/>
    <x v="6"/>
    <x v="9"/>
    <x v="9"/>
    <x v="1"/>
    <n v="125"/>
    <n v="180"/>
    <n v="55"/>
    <n v="69.44"/>
    <x v="0"/>
    <n v="752645"/>
    <n v="76227"/>
    <n v="828872"/>
    <n v="344158"/>
    <n v="909525"/>
    <n v="1253683"/>
    <n v="-424811"/>
    <n v="-0.51251701107046688"/>
    <n v="74"/>
    <s v="No"/>
    <n v="4.5999999999999996"/>
    <s v="Excellent"/>
  </r>
  <r>
    <s v="6E1076"/>
    <d v="2025-07-10T00:00:00"/>
    <x v="0"/>
    <x v="2"/>
    <x v="0"/>
    <x v="0"/>
    <x v="2"/>
    <n v="204"/>
    <n v="232"/>
    <n v="28"/>
    <n v="87.93"/>
    <x v="1"/>
    <n v="1181226"/>
    <n v="105562"/>
    <n v="1286788"/>
    <n v="644435"/>
    <n v="903931"/>
    <n v="1548366"/>
    <n v="-261578"/>
    <n v="-0.20327979434063731"/>
    <n v="10"/>
    <s v="Yes"/>
    <n v="3.4"/>
    <s v="Good"/>
  </r>
  <r>
    <s v="6E1077"/>
    <d v="2025-09-12T00:00:00"/>
    <x v="0"/>
    <x v="5"/>
    <x v="8"/>
    <x v="8"/>
    <x v="2"/>
    <n v="207"/>
    <n v="232"/>
    <n v="25"/>
    <n v="89.22"/>
    <x v="1"/>
    <n v="1253105"/>
    <n v="107817"/>
    <n v="1360922"/>
    <n v="682028"/>
    <n v="823939"/>
    <n v="1505967"/>
    <n v="-145045"/>
    <n v="-0.10657848135308269"/>
    <n v="27"/>
    <s v="No"/>
    <n v="4.4000000000000004"/>
    <s v="Excellent"/>
  </r>
  <r>
    <s v="6E1078"/>
    <d v="2025-05-12T00:00:00"/>
    <x v="0"/>
    <x v="0"/>
    <x v="2"/>
    <x v="2"/>
    <x v="1"/>
    <n v="114"/>
    <n v="180"/>
    <n v="66"/>
    <n v="63.33"/>
    <x v="0"/>
    <n v="463863"/>
    <n v="42695"/>
    <n v="506558"/>
    <n v="606740"/>
    <n v="1141135"/>
    <n v="1747875"/>
    <n v="-1241317"/>
    <n v="-2.4504933294904037"/>
    <n v="44"/>
    <s v="No"/>
    <n v="3.9"/>
    <s v="Good"/>
  </r>
  <r>
    <s v="6E1079"/>
    <d v="2025-06-28T00:00:00"/>
    <x v="0"/>
    <x v="1"/>
    <x v="6"/>
    <x v="6"/>
    <x v="0"/>
    <n v="67"/>
    <n v="78"/>
    <n v="11"/>
    <n v="85.9"/>
    <x v="1"/>
    <n v="382129"/>
    <n v="19650"/>
    <n v="401779"/>
    <n v="439581"/>
    <n v="674236"/>
    <n v="1113817"/>
    <n v="-712038"/>
    <n v="-1.7722130823163977"/>
    <n v="55"/>
    <s v="No"/>
    <n v="3.4"/>
    <s v="Good"/>
  </r>
  <r>
    <s v="6E1080"/>
    <d v="2025-09-05T00:00:00"/>
    <x v="0"/>
    <x v="5"/>
    <x v="0"/>
    <x v="0"/>
    <x v="1"/>
    <n v="169"/>
    <n v="180"/>
    <n v="11"/>
    <n v="93.89"/>
    <x v="1"/>
    <n v="1483120"/>
    <n v="18106"/>
    <n v="1501226"/>
    <n v="1096263"/>
    <n v="1544483"/>
    <n v="2640746"/>
    <n v="-1139520"/>
    <n v="-0.75905959529078237"/>
    <n v="42"/>
    <s v="No"/>
    <n v="4.8"/>
    <s v="Excellent"/>
  </r>
  <r>
    <s v="6E1081"/>
    <d v="2025-08-02T00:00:00"/>
    <x v="0"/>
    <x v="9"/>
    <x v="1"/>
    <x v="1"/>
    <x v="1"/>
    <n v="134"/>
    <n v="180"/>
    <n v="46"/>
    <n v="74.44"/>
    <x v="0"/>
    <n v="515374"/>
    <n v="59655"/>
    <n v="575029"/>
    <n v="941132"/>
    <n v="1448457"/>
    <n v="2389589"/>
    <n v="-1814560"/>
    <n v="-3.1555973698717805"/>
    <n v="22"/>
    <s v="No"/>
    <n v="4.7"/>
    <s v="Excellent"/>
  </r>
  <r>
    <s v="6E1082"/>
    <d v="2025-10-11T00:00:00"/>
    <x v="0"/>
    <x v="7"/>
    <x v="0"/>
    <x v="0"/>
    <x v="2"/>
    <n v="203"/>
    <n v="232"/>
    <n v="29"/>
    <n v="87.5"/>
    <x v="1"/>
    <n v="1737451"/>
    <n v="138870"/>
    <n v="1876321"/>
    <n v="1052002"/>
    <n v="1746366"/>
    <n v="2798368"/>
    <n v="-922047"/>
    <n v="-0.49141218373615175"/>
    <n v="24"/>
    <s v="No"/>
    <n v="3.8"/>
    <s v="Good"/>
  </r>
  <r>
    <s v="6E1083"/>
    <d v="2025-06-14T00:00:00"/>
    <x v="0"/>
    <x v="1"/>
    <x v="2"/>
    <x v="2"/>
    <x v="0"/>
    <n v="60"/>
    <n v="78"/>
    <n v="18"/>
    <n v="76.92"/>
    <x v="0"/>
    <n v="286043"/>
    <n v="92365"/>
    <n v="378408"/>
    <n v="894411"/>
    <n v="1564185"/>
    <n v="2458596"/>
    <n v="-2080188"/>
    <n v="-5.4972093613242849"/>
    <n v="68"/>
    <s v="No"/>
    <n v="3.3"/>
    <s v="Good"/>
  </r>
  <r>
    <s v="6E1084"/>
    <d v="2025-10-18T00:00:00"/>
    <x v="0"/>
    <x v="7"/>
    <x v="4"/>
    <x v="4"/>
    <x v="2"/>
    <n v="219"/>
    <n v="232"/>
    <n v="13"/>
    <n v="94.4"/>
    <x v="1"/>
    <n v="1797421"/>
    <n v="102253"/>
    <n v="1899674"/>
    <n v="522232"/>
    <n v="1079369"/>
    <n v="1601601"/>
    <n v="298073"/>
    <n v="0.1569074483306083"/>
    <n v="11"/>
    <s v="Yes"/>
    <n v="4.3"/>
    <s v="Excellent"/>
  </r>
  <r>
    <s v="6E1085"/>
    <d v="2025-04-07T00:00:00"/>
    <x v="0"/>
    <x v="6"/>
    <x v="5"/>
    <x v="5"/>
    <x v="2"/>
    <n v="158"/>
    <n v="232"/>
    <n v="74"/>
    <n v="68.099999999999994"/>
    <x v="0"/>
    <n v="959305"/>
    <n v="100913"/>
    <n v="1060218"/>
    <n v="911214"/>
    <n v="1213302"/>
    <n v="2124516"/>
    <n v="-1064298"/>
    <n v="-1.0038482651681069"/>
    <n v="41"/>
    <s v="No"/>
    <n v="3.3"/>
    <s v="Good"/>
  </r>
  <r>
    <s v="6E1086"/>
    <d v="2025-11-26T00:00:00"/>
    <x v="0"/>
    <x v="8"/>
    <x v="0"/>
    <x v="0"/>
    <x v="1"/>
    <n v="146"/>
    <n v="180"/>
    <n v="34"/>
    <n v="81.11"/>
    <x v="0"/>
    <n v="606220"/>
    <n v="19511"/>
    <n v="625731"/>
    <n v="1103754"/>
    <n v="1706292"/>
    <n v="2810046"/>
    <n v="-2184315"/>
    <n v="-3.4908211355998024"/>
    <n v="21"/>
    <s v="No"/>
    <n v="4.7"/>
    <s v="Excellent"/>
  </r>
  <r>
    <s v="6E1087"/>
    <d v="2025-08-16T00:00:00"/>
    <x v="0"/>
    <x v="9"/>
    <x v="7"/>
    <x v="7"/>
    <x v="0"/>
    <n v="66"/>
    <n v="78"/>
    <n v="12"/>
    <n v="84.62"/>
    <x v="0"/>
    <n v="507608"/>
    <n v="67529"/>
    <n v="575137"/>
    <n v="807416"/>
    <n v="975948"/>
    <n v="1783364"/>
    <n v="-1208227"/>
    <n v="-2.1007638180120565"/>
    <n v="71"/>
    <s v="No"/>
    <n v="3.6"/>
    <s v="Good"/>
  </r>
  <r>
    <s v="6E1088"/>
    <d v="2025-12-05T00:00:00"/>
    <x v="0"/>
    <x v="3"/>
    <x v="8"/>
    <x v="8"/>
    <x v="1"/>
    <n v="133"/>
    <n v="180"/>
    <n v="47"/>
    <n v="73.89"/>
    <x v="0"/>
    <n v="537296"/>
    <n v="78707"/>
    <n v="616003"/>
    <n v="702370"/>
    <n v="1084662"/>
    <n v="1787032"/>
    <n v="-1171029"/>
    <n v="-1.9010118457215306"/>
    <n v="30"/>
    <s v="No"/>
    <n v="3.4"/>
    <s v="Good"/>
  </r>
  <r>
    <s v="6E1089"/>
    <d v="2025-09-30T00:00:00"/>
    <x v="0"/>
    <x v="5"/>
    <x v="4"/>
    <x v="4"/>
    <x v="2"/>
    <n v="206"/>
    <n v="232"/>
    <n v="26"/>
    <n v="88.79"/>
    <x v="1"/>
    <n v="1840052"/>
    <n v="68093"/>
    <n v="1908145"/>
    <n v="1028906"/>
    <n v="1626106"/>
    <n v="2655012"/>
    <n v="-746867"/>
    <n v="-0.3914099819458165"/>
    <n v="49"/>
    <s v="No"/>
    <n v="4.2"/>
    <s v="Excellent"/>
  </r>
  <r>
    <s v="6E1090"/>
    <d v="2025-12-21T00:00:00"/>
    <x v="0"/>
    <x v="3"/>
    <x v="9"/>
    <x v="9"/>
    <x v="1"/>
    <n v="138"/>
    <n v="180"/>
    <n v="42"/>
    <n v="76.67"/>
    <x v="0"/>
    <n v="979309"/>
    <n v="59594"/>
    <n v="1038903"/>
    <n v="986061"/>
    <n v="1665283"/>
    <n v="2651344"/>
    <n v="-1612441"/>
    <n v="-1.5520611645168028"/>
    <n v="17"/>
    <s v="No"/>
    <n v="4.8"/>
    <s v="Excellent"/>
  </r>
  <r>
    <s v="6E1091"/>
    <d v="2025-08-14T00:00:00"/>
    <x v="0"/>
    <x v="9"/>
    <x v="7"/>
    <x v="7"/>
    <x v="0"/>
    <n v="70"/>
    <n v="78"/>
    <n v="8"/>
    <n v="89.74"/>
    <x v="1"/>
    <n v="566944"/>
    <n v="148597"/>
    <n v="715541"/>
    <n v="778277"/>
    <n v="914908"/>
    <n v="1693185"/>
    <n v="-977644"/>
    <n v="-1.3663004635653302"/>
    <n v="65"/>
    <s v="No"/>
    <n v="3.9"/>
    <s v="Good"/>
  </r>
  <r>
    <s v="6E1092"/>
    <d v="2025-04-26T00:00:00"/>
    <x v="0"/>
    <x v="6"/>
    <x v="5"/>
    <x v="5"/>
    <x v="2"/>
    <n v="166"/>
    <n v="232"/>
    <n v="66"/>
    <n v="71.55"/>
    <x v="0"/>
    <n v="1423764"/>
    <n v="89099"/>
    <n v="1512863"/>
    <n v="1103450"/>
    <n v="1267103"/>
    <n v="2370553"/>
    <n v="-857690"/>
    <n v="-0.56693170498584466"/>
    <n v="81"/>
    <s v="No"/>
    <n v="4.4000000000000004"/>
    <s v="Excellent"/>
  </r>
  <r>
    <s v="6E1093"/>
    <d v="2025-07-30T00:00:00"/>
    <x v="0"/>
    <x v="2"/>
    <x v="1"/>
    <x v="1"/>
    <x v="1"/>
    <n v="164"/>
    <n v="180"/>
    <n v="16"/>
    <n v="91.11"/>
    <x v="1"/>
    <n v="910667"/>
    <n v="65720"/>
    <n v="976387"/>
    <n v="718374"/>
    <n v="913979"/>
    <n v="1632353"/>
    <n v="-655966"/>
    <n v="-0.67182991989856478"/>
    <n v="84"/>
    <s v="No"/>
    <n v="3.3"/>
    <s v="Good"/>
  </r>
  <r>
    <s v="6E1094"/>
    <d v="2025-08-08T00:00:00"/>
    <x v="0"/>
    <x v="9"/>
    <x v="6"/>
    <x v="6"/>
    <x v="0"/>
    <n v="75"/>
    <n v="78"/>
    <n v="3"/>
    <n v="96.15"/>
    <x v="1"/>
    <n v="273812"/>
    <n v="37879"/>
    <n v="311691"/>
    <n v="431708"/>
    <n v="816195"/>
    <n v="1247903"/>
    <n v="-936212"/>
    <n v="-3.0036542601486729"/>
    <n v="49"/>
    <s v="No"/>
    <n v="4.2"/>
    <s v="Excellent"/>
  </r>
  <r>
    <s v="6E1095"/>
    <d v="2025-07-08T00:00:00"/>
    <x v="0"/>
    <x v="2"/>
    <x v="5"/>
    <x v="5"/>
    <x v="2"/>
    <n v="188"/>
    <n v="232"/>
    <n v="44"/>
    <n v="81.03"/>
    <x v="0"/>
    <n v="1490579"/>
    <n v="136217"/>
    <n v="1626796"/>
    <n v="1178833"/>
    <n v="1449827"/>
    <n v="2628660"/>
    <n v="-1001864"/>
    <n v="-0.61585103479477454"/>
    <n v="45"/>
    <s v="No"/>
    <n v="4.4000000000000004"/>
    <s v="Excellent"/>
  </r>
  <r>
    <s v="6E1096"/>
    <d v="2025-04-30T00:00:00"/>
    <x v="0"/>
    <x v="6"/>
    <x v="5"/>
    <x v="5"/>
    <x v="1"/>
    <n v="143"/>
    <n v="180"/>
    <n v="37"/>
    <n v="79.44"/>
    <x v="0"/>
    <n v="1201866"/>
    <n v="142363"/>
    <n v="1344229"/>
    <n v="1173331"/>
    <n v="1338900"/>
    <n v="2512231"/>
    <n v="-1168002"/>
    <n v="-0.86890105778107751"/>
    <n v="15"/>
    <s v="Yes"/>
    <n v="3.8"/>
    <s v="Good"/>
  </r>
  <r>
    <s v="6E1097"/>
    <d v="2025-04-26T00:00:00"/>
    <x v="0"/>
    <x v="6"/>
    <x v="8"/>
    <x v="8"/>
    <x v="0"/>
    <n v="69"/>
    <n v="78"/>
    <n v="9"/>
    <n v="88.46"/>
    <x v="1"/>
    <n v="302451"/>
    <n v="143162"/>
    <n v="445613"/>
    <n v="981928"/>
    <n v="1362111"/>
    <n v="2344039"/>
    <n v="-1898426"/>
    <n v="-4.2602572187077126"/>
    <n v="64"/>
    <s v="No"/>
    <n v="4.7"/>
    <s v="Excellent"/>
  </r>
  <r>
    <s v="6E1098"/>
    <d v="2025-02-25T00:00:00"/>
    <x v="0"/>
    <x v="11"/>
    <x v="5"/>
    <x v="5"/>
    <x v="1"/>
    <n v="150"/>
    <n v="180"/>
    <n v="30"/>
    <n v="83.33"/>
    <x v="0"/>
    <n v="684300"/>
    <n v="101154"/>
    <n v="785454"/>
    <n v="855634"/>
    <n v="1479680"/>
    <n v="2335314"/>
    <n v="-1549860"/>
    <n v="-1.9732027591685828"/>
    <n v="87"/>
    <s v="No"/>
    <n v="3.3"/>
    <s v="Good"/>
  </r>
  <r>
    <s v="6E1099"/>
    <d v="2025-02-07T00:00:00"/>
    <x v="0"/>
    <x v="11"/>
    <x v="2"/>
    <x v="2"/>
    <x v="2"/>
    <n v="182"/>
    <n v="232"/>
    <n v="50"/>
    <n v="78.45"/>
    <x v="0"/>
    <n v="642229"/>
    <n v="18964"/>
    <n v="661193"/>
    <n v="929629"/>
    <n v="1281270"/>
    <n v="2210899"/>
    <n v="-1549706"/>
    <n v="-2.3438027928305352"/>
    <n v="33"/>
    <s v="No"/>
    <n v="4.5999999999999996"/>
    <s v="Excellent"/>
  </r>
  <r>
    <s v="6E1100"/>
    <d v="2025-12-03T00:00:00"/>
    <x v="0"/>
    <x v="3"/>
    <x v="6"/>
    <x v="6"/>
    <x v="2"/>
    <n v="147"/>
    <n v="232"/>
    <n v="85"/>
    <n v="63.36"/>
    <x v="0"/>
    <n v="1051817"/>
    <n v="44758"/>
    <n v="1096575"/>
    <n v="1002631"/>
    <n v="1178710"/>
    <n v="2181341"/>
    <n v="-1084766"/>
    <n v="-0.98923101475047304"/>
    <n v="77"/>
    <s v="No"/>
    <n v="3.4"/>
    <s v="Good"/>
  </r>
  <r>
    <s v="6E1101"/>
    <d v="2025-04-19T00:00:00"/>
    <x v="0"/>
    <x v="6"/>
    <x v="9"/>
    <x v="9"/>
    <x v="0"/>
    <n v="67"/>
    <n v="78"/>
    <n v="11"/>
    <n v="85.9"/>
    <x v="1"/>
    <n v="371457"/>
    <n v="25145"/>
    <n v="396602"/>
    <n v="841791"/>
    <n v="1325832"/>
    <n v="2167623"/>
    <n v="-1771021"/>
    <n v="-4.4654868104548138"/>
    <n v="61"/>
    <s v="No"/>
    <n v="4.3"/>
    <s v="Excellent"/>
  </r>
  <r>
    <s v="6E1102"/>
    <d v="2025-04-19T00:00:00"/>
    <x v="0"/>
    <x v="6"/>
    <x v="6"/>
    <x v="6"/>
    <x v="1"/>
    <n v="171"/>
    <n v="180"/>
    <n v="9"/>
    <n v="95"/>
    <x v="1"/>
    <n v="1398169"/>
    <n v="128812"/>
    <n v="1526981"/>
    <n v="1086860"/>
    <n v="1304060"/>
    <n v="2390920"/>
    <n v="-863939"/>
    <n v="-0.56578241641513549"/>
    <n v="80"/>
    <s v="No"/>
    <n v="4.2"/>
    <s v="Excellent"/>
  </r>
  <r>
    <s v="6E1103"/>
    <d v="2025-04-02T00:00:00"/>
    <x v="0"/>
    <x v="6"/>
    <x v="5"/>
    <x v="5"/>
    <x v="0"/>
    <n v="69"/>
    <n v="78"/>
    <n v="9"/>
    <n v="88.46"/>
    <x v="1"/>
    <n v="477421"/>
    <n v="129231"/>
    <n v="606652"/>
    <n v="297210"/>
    <n v="810173"/>
    <n v="1107383"/>
    <n v="-500731"/>
    <n v="-0.82540072397354658"/>
    <n v="19"/>
    <s v="No"/>
    <n v="4"/>
    <s v="Excellent"/>
  </r>
  <r>
    <s v="6E1104"/>
    <d v="2025-12-29T00:00:00"/>
    <x v="0"/>
    <x v="3"/>
    <x v="9"/>
    <x v="9"/>
    <x v="0"/>
    <n v="53"/>
    <n v="78"/>
    <n v="25"/>
    <n v="67.95"/>
    <x v="0"/>
    <n v="242593"/>
    <n v="144869"/>
    <n v="387462"/>
    <n v="383675"/>
    <n v="1056905"/>
    <n v="1440580"/>
    <n v="-1053118"/>
    <n v="-2.7179904093820815"/>
    <n v="46"/>
    <s v="No"/>
    <n v="3.8"/>
    <s v="Good"/>
  </r>
  <r>
    <s v="6E1105"/>
    <d v="2025-06-25T00:00:00"/>
    <x v="0"/>
    <x v="1"/>
    <x v="5"/>
    <x v="5"/>
    <x v="1"/>
    <n v="137"/>
    <n v="180"/>
    <n v="43"/>
    <n v="76.11"/>
    <x v="0"/>
    <n v="713390"/>
    <n v="57032"/>
    <n v="770422"/>
    <n v="803281"/>
    <n v="1374426"/>
    <n v="2177707"/>
    <n v="-1407285"/>
    <n v="-1.8266417625664895"/>
    <n v="84"/>
    <s v="No"/>
    <n v="3.9"/>
    <s v="Good"/>
  </r>
  <r>
    <s v="6E1106"/>
    <d v="2025-05-05T00:00:00"/>
    <x v="0"/>
    <x v="0"/>
    <x v="5"/>
    <x v="5"/>
    <x v="1"/>
    <n v="166"/>
    <n v="180"/>
    <n v="14"/>
    <n v="92.22"/>
    <x v="1"/>
    <n v="1205837"/>
    <n v="61985"/>
    <n v="1267822"/>
    <n v="465543"/>
    <n v="1019184"/>
    <n v="1484727"/>
    <n v="-216905"/>
    <n v="-0.17108474217989592"/>
    <n v="56"/>
    <s v="No"/>
    <n v="4.3"/>
    <s v="Excellent"/>
  </r>
  <r>
    <s v="6E1107"/>
    <d v="2025-07-14T00:00:00"/>
    <x v="0"/>
    <x v="2"/>
    <x v="0"/>
    <x v="0"/>
    <x v="2"/>
    <n v="223"/>
    <n v="232"/>
    <n v="9"/>
    <n v="96.12"/>
    <x v="1"/>
    <n v="1896541"/>
    <n v="34293"/>
    <n v="1930834"/>
    <n v="415772"/>
    <n v="1012744"/>
    <n v="1428516"/>
    <n v="502318"/>
    <n v="0.2601559740505916"/>
    <n v="45"/>
    <s v="No"/>
    <n v="4.8"/>
    <s v="Excellent"/>
  </r>
  <r>
    <s v="6E1108"/>
    <d v="2025-08-12T00:00:00"/>
    <x v="0"/>
    <x v="9"/>
    <x v="2"/>
    <x v="2"/>
    <x v="0"/>
    <n v="62"/>
    <n v="78"/>
    <n v="16"/>
    <n v="79.489999999999995"/>
    <x v="0"/>
    <n v="320837"/>
    <n v="71688"/>
    <n v="392525"/>
    <n v="567487"/>
    <n v="899977"/>
    <n v="1467464"/>
    <n v="-1074939"/>
    <n v="-2.7385236609133177"/>
    <n v="21"/>
    <s v="No"/>
    <n v="4.3"/>
    <s v="Excellent"/>
  </r>
  <r>
    <s v="6E1109"/>
    <d v="2025-05-25T00:00:00"/>
    <x v="0"/>
    <x v="0"/>
    <x v="9"/>
    <x v="9"/>
    <x v="0"/>
    <n v="60"/>
    <n v="78"/>
    <n v="18"/>
    <n v="76.92"/>
    <x v="0"/>
    <n v="472703"/>
    <n v="72581"/>
    <n v="545284"/>
    <n v="527267"/>
    <n v="831261"/>
    <n v="1358528"/>
    <n v="-813244"/>
    <n v="-1.4914136486674834"/>
    <n v="73"/>
    <s v="No"/>
    <n v="4.5999999999999996"/>
    <s v="Excellent"/>
  </r>
  <r>
    <s v="6E1110"/>
    <d v="2025-06-10T00:00:00"/>
    <x v="0"/>
    <x v="1"/>
    <x v="9"/>
    <x v="9"/>
    <x v="2"/>
    <n v="212"/>
    <n v="232"/>
    <n v="20"/>
    <n v="91.38"/>
    <x v="1"/>
    <n v="1692216"/>
    <n v="46564"/>
    <n v="1738780"/>
    <n v="663311"/>
    <n v="1049622"/>
    <n v="1712933"/>
    <n v="25847"/>
    <n v="1.4865020301590771E-2"/>
    <n v="78"/>
    <s v="No"/>
    <n v="4.9000000000000004"/>
    <s v="Excellent"/>
  </r>
  <r>
    <s v="6E1111"/>
    <d v="2025-11-19T00:00:00"/>
    <x v="0"/>
    <x v="8"/>
    <x v="5"/>
    <x v="5"/>
    <x v="2"/>
    <n v="180"/>
    <n v="232"/>
    <n v="52"/>
    <n v="77.59"/>
    <x v="0"/>
    <n v="881028"/>
    <n v="19533"/>
    <n v="900561"/>
    <n v="1098565"/>
    <n v="1678983"/>
    <n v="2777548"/>
    <n v="-1876987"/>
    <n v="-2.0842419336391429"/>
    <n v="47"/>
    <s v="No"/>
    <n v="4.5"/>
    <s v="Excellent"/>
  </r>
  <r>
    <s v="6E1112"/>
    <d v="2025-07-22T00:00:00"/>
    <x v="0"/>
    <x v="2"/>
    <x v="5"/>
    <x v="5"/>
    <x v="0"/>
    <n v="65"/>
    <n v="78"/>
    <n v="13"/>
    <n v="83.33"/>
    <x v="0"/>
    <n v="583285"/>
    <n v="121567"/>
    <n v="704852"/>
    <n v="398323"/>
    <n v="616394"/>
    <n v="1014717"/>
    <n v="-309865"/>
    <n v="-0.43961711110985002"/>
    <n v="16"/>
    <s v="No"/>
    <n v="3.4"/>
    <s v="Good"/>
  </r>
  <r>
    <s v="6E1113"/>
    <d v="2025-09-02T00:00:00"/>
    <x v="0"/>
    <x v="5"/>
    <x v="1"/>
    <x v="1"/>
    <x v="1"/>
    <n v="158"/>
    <n v="180"/>
    <n v="22"/>
    <n v="87.78"/>
    <x v="1"/>
    <n v="1333241"/>
    <n v="135240"/>
    <n v="1468481"/>
    <n v="984045"/>
    <n v="1407378"/>
    <n v="2391423"/>
    <n v="-922942"/>
    <n v="-0.62850115187053834"/>
    <n v="46"/>
    <s v="No"/>
    <n v="3.4"/>
    <s v="Good"/>
  </r>
  <r>
    <s v="6E1114"/>
    <d v="2025-04-18T00:00:00"/>
    <x v="0"/>
    <x v="6"/>
    <x v="3"/>
    <x v="3"/>
    <x v="1"/>
    <n v="113"/>
    <n v="180"/>
    <n v="67"/>
    <n v="62.78"/>
    <x v="0"/>
    <n v="661939"/>
    <n v="28516"/>
    <n v="690455"/>
    <n v="866752"/>
    <n v="1003604"/>
    <n v="1870356"/>
    <n v="-1179901"/>
    <n v="-1.7088745827027105"/>
    <n v="77"/>
    <s v="No"/>
    <n v="4.5"/>
    <s v="Excellent"/>
  </r>
  <r>
    <s v="6E1115"/>
    <d v="2025-09-04T00:00:00"/>
    <x v="0"/>
    <x v="5"/>
    <x v="0"/>
    <x v="0"/>
    <x v="2"/>
    <n v="206"/>
    <n v="232"/>
    <n v="26"/>
    <n v="88.79"/>
    <x v="1"/>
    <n v="1463379"/>
    <n v="124318"/>
    <n v="1587697"/>
    <n v="817159"/>
    <n v="1496991"/>
    <n v="2314150"/>
    <n v="-726453"/>
    <n v="-0.45755140936841221"/>
    <n v="78"/>
    <s v="No"/>
    <n v="4.5"/>
    <s v="Excellent"/>
  </r>
  <r>
    <s v="6E1116"/>
    <d v="2025-03-20T00:00:00"/>
    <x v="0"/>
    <x v="4"/>
    <x v="0"/>
    <x v="0"/>
    <x v="2"/>
    <n v="222"/>
    <n v="232"/>
    <n v="10"/>
    <n v="95.69"/>
    <x v="1"/>
    <n v="909427"/>
    <n v="61842"/>
    <n v="971269"/>
    <n v="450698"/>
    <n v="847870"/>
    <n v="1298568"/>
    <n v="-327299"/>
    <n v="-0.33698079522768665"/>
    <n v="50"/>
    <s v="No"/>
    <n v="4.5999999999999996"/>
    <s v="Excellent"/>
  </r>
  <r>
    <s v="6E1117"/>
    <d v="2025-05-24T00:00:00"/>
    <x v="0"/>
    <x v="0"/>
    <x v="6"/>
    <x v="6"/>
    <x v="2"/>
    <n v="222"/>
    <n v="232"/>
    <n v="10"/>
    <n v="95.69"/>
    <x v="1"/>
    <n v="1966553"/>
    <n v="41060"/>
    <n v="2007613"/>
    <n v="1151681"/>
    <n v="1492143"/>
    <n v="2643824"/>
    <n v="-636211"/>
    <n v="-0.31689922310724228"/>
    <n v="36"/>
    <s v="No"/>
    <n v="3.5"/>
    <s v="Good"/>
  </r>
  <r>
    <s v="6E1118"/>
    <d v="2025-09-13T00:00:00"/>
    <x v="0"/>
    <x v="5"/>
    <x v="7"/>
    <x v="7"/>
    <x v="2"/>
    <n v="220"/>
    <n v="232"/>
    <n v="12"/>
    <n v="94.83"/>
    <x v="1"/>
    <n v="1967839"/>
    <n v="51733"/>
    <n v="2019572"/>
    <n v="638071"/>
    <n v="1116703"/>
    <n v="1754774"/>
    <n v="264798"/>
    <n v="0.13111589980451305"/>
    <n v="25"/>
    <s v="No"/>
    <n v="4.5999999999999996"/>
    <s v="Excellent"/>
  </r>
  <r>
    <s v="6E1119"/>
    <d v="2025-11-12T00:00:00"/>
    <x v="0"/>
    <x v="8"/>
    <x v="2"/>
    <x v="2"/>
    <x v="0"/>
    <n v="49"/>
    <n v="78"/>
    <n v="29"/>
    <n v="62.82"/>
    <x v="0"/>
    <n v="372702"/>
    <n v="24344"/>
    <n v="397046"/>
    <n v="1134111"/>
    <n v="1478607"/>
    <n v="2612718"/>
    <n v="-2215672"/>
    <n v="-5.5803911889302498"/>
    <n v="19"/>
    <s v="No"/>
    <n v="3.7"/>
    <s v="Good"/>
  </r>
  <r>
    <s v="6E1120"/>
    <d v="2025-09-04T00:00:00"/>
    <x v="0"/>
    <x v="5"/>
    <x v="5"/>
    <x v="5"/>
    <x v="1"/>
    <n v="112"/>
    <n v="180"/>
    <n v="68"/>
    <n v="62.22"/>
    <x v="0"/>
    <n v="433622"/>
    <n v="76839"/>
    <n v="510461"/>
    <n v="628342"/>
    <n v="1034622"/>
    <n v="1662964"/>
    <n v="-1152503"/>
    <n v="-2.2577689578635782"/>
    <n v="31"/>
    <s v="No"/>
    <n v="4.7"/>
    <s v="Excellent"/>
  </r>
  <r>
    <s v="6E1121"/>
    <d v="2025-07-03T00:00:00"/>
    <x v="0"/>
    <x v="2"/>
    <x v="6"/>
    <x v="6"/>
    <x v="1"/>
    <n v="113"/>
    <n v="180"/>
    <n v="67"/>
    <n v="62.78"/>
    <x v="0"/>
    <n v="920713"/>
    <n v="114207"/>
    <n v="1034920"/>
    <n v="1119554"/>
    <n v="1519966"/>
    <n v="2639520"/>
    <n v="-1604600"/>
    <n v="-1.5504580064159548"/>
    <n v="15"/>
    <s v="Yes"/>
    <n v="3.8"/>
    <s v="Good"/>
  </r>
  <r>
    <s v="6E1122"/>
    <d v="2025-03-25T00:00:00"/>
    <x v="0"/>
    <x v="4"/>
    <x v="2"/>
    <x v="2"/>
    <x v="2"/>
    <n v="197"/>
    <n v="232"/>
    <n v="35"/>
    <n v="84.91"/>
    <x v="0"/>
    <n v="797902"/>
    <n v="100687"/>
    <n v="898589"/>
    <n v="733369"/>
    <n v="834443"/>
    <n v="1567812"/>
    <n v="-669223"/>
    <n v="-0.7447487115911724"/>
    <n v="0"/>
    <s v="Yes"/>
    <n v="3.4"/>
    <s v="Good"/>
  </r>
  <r>
    <s v="6E1123"/>
    <d v="2025-12-16T00:00:00"/>
    <x v="0"/>
    <x v="3"/>
    <x v="4"/>
    <x v="4"/>
    <x v="0"/>
    <n v="57"/>
    <n v="78"/>
    <n v="21"/>
    <n v="73.08"/>
    <x v="0"/>
    <n v="465398"/>
    <n v="50628"/>
    <n v="516026"/>
    <n v="961922"/>
    <n v="1100161"/>
    <n v="2062083"/>
    <n v="-1546057"/>
    <n v="-2.9960835306748108"/>
    <n v="52"/>
    <s v="No"/>
    <n v="3.3"/>
    <s v="Good"/>
  </r>
  <r>
    <s v="6E1124"/>
    <d v="2025-05-13T00:00:00"/>
    <x v="0"/>
    <x v="0"/>
    <x v="5"/>
    <x v="5"/>
    <x v="0"/>
    <n v="66"/>
    <n v="78"/>
    <n v="12"/>
    <n v="84.62"/>
    <x v="0"/>
    <n v="340947"/>
    <n v="35944"/>
    <n v="376891"/>
    <n v="1106069"/>
    <n v="1556245"/>
    <n v="2662314"/>
    <n v="-2285423"/>
    <n v="-6.0638831916920273"/>
    <n v="66"/>
    <s v="No"/>
    <n v="3.3"/>
    <s v="Good"/>
  </r>
  <r>
    <s v="6E1125"/>
    <d v="2025-08-09T00:00:00"/>
    <x v="0"/>
    <x v="9"/>
    <x v="3"/>
    <x v="3"/>
    <x v="2"/>
    <n v="181"/>
    <n v="232"/>
    <n v="51"/>
    <n v="78.02"/>
    <x v="0"/>
    <n v="981664"/>
    <n v="111235"/>
    <n v="1092899"/>
    <n v="1076127"/>
    <n v="1517982"/>
    <n v="2594109"/>
    <n v="-1501210"/>
    <n v="-1.373603599234696"/>
    <n v="2"/>
    <s v="Yes"/>
    <n v="4.8"/>
    <s v="Excellent"/>
  </r>
  <r>
    <s v="6E1126"/>
    <d v="2025-03-06T00:00:00"/>
    <x v="0"/>
    <x v="4"/>
    <x v="2"/>
    <x v="2"/>
    <x v="2"/>
    <n v="175"/>
    <n v="232"/>
    <n v="57"/>
    <n v="75.430000000000007"/>
    <x v="0"/>
    <n v="1137071"/>
    <n v="114000"/>
    <n v="1251071"/>
    <n v="518205"/>
    <n v="1030586"/>
    <n v="1548791"/>
    <n v="-297720"/>
    <n v="-0.23797210550000758"/>
    <n v="6"/>
    <s v="Yes"/>
    <n v="4.7"/>
    <s v="Excellent"/>
  </r>
  <r>
    <s v="6E1127"/>
    <d v="2025-06-17T00:00:00"/>
    <x v="0"/>
    <x v="1"/>
    <x v="3"/>
    <x v="3"/>
    <x v="2"/>
    <n v="162"/>
    <n v="232"/>
    <n v="70"/>
    <n v="69.83"/>
    <x v="0"/>
    <n v="1243246"/>
    <n v="115022"/>
    <n v="1358268"/>
    <n v="990730"/>
    <n v="1650225"/>
    <n v="2640955"/>
    <n v="-1282687"/>
    <n v="-0.94435486958391124"/>
    <n v="11"/>
    <s v="Yes"/>
    <n v="4.2"/>
    <s v="Excellent"/>
  </r>
  <r>
    <s v="6E1128"/>
    <d v="2025-03-26T00:00:00"/>
    <x v="0"/>
    <x v="4"/>
    <x v="8"/>
    <x v="8"/>
    <x v="2"/>
    <n v="206"/>
    <n v="232"/>
    <n v="26"/>
    <n v="88.79"/>
    <x v="1"/>
    <n v="1174054"/>
    <n v="32208"/>
    <n v="1206262"/>
    <n v="729382"/>
    <n v="1310634"/>
    <n v="2040016"/>
    <n v="-833754"/>
    <n v="-0.69118814983809485"/>
    <n v="55"/>
    <s v="No"/>
    <n v="4.3"/>
    <s v="Excellent"/>
  </r>
  <r>
    <s v="6E1129"/>
    <d v="2025-11-12T00:00:00"/>
    <x v="0"/>
    <x v="8"/>
    <x v="3"/>
    <x v="3"/>
    <x v="0"/>
    <n v="76"/>
    <n v="78"/>
    <n v="2"/>
    <n v="97.44"/>
    <x v="1"/>
    <n v="408675"/>
    <n v="63645"/>
    <n v="472320"/>
    <n v="859916"/>
    <n v="1520191"/>
    <n v="2380107"/>
    <n v="-1907787"/>
    <n v="-4.0391831808943088"/>
    <n v="79"/>
    <s v="No"/>
    <n v="4.4000000000000004"/>
    <s v="Excellent"/>
  </r>
  <r>
    <s v="6E1130"/>
    <d v="2025-11-22T00:00:00"/>
    <x v="0"/>
    <x v="8"/>
    <x v="8"/>
    <x v="8"/>
    <x v="0"/>
    <n v="69"/>
    <n v="78"/>
    <n v="9"/>
    <n v="88.46"/>
    <x v="1"/>
    <n v="533211"/>
    <n v="148324"/>
    <n v="681535"/>
    <n v="501230"/>
    <n v="1200206"/>
    <n v="1701436"/>
    <n v="-1019901"/>
    <n v="-1.496476336505095"/>
    <n v="43"/>
    <s v="No"/>
    <n v="4.5"/>
    <s v="Excellent"/>
  </r>
  <r>
    <s v="6E1131"/>
    <d v="2025-06-12T00:00:00"/>
    <x v="0"/>
    <x v="1"/>
    <x v="4"/>
    <x v="4"/>
    <x v="2"/>
    <n v="148"/>
    <n v="232"/>
    <n v="84"/>
    <n v="63.79"/>
    <x v="0"/>
    <n v="1295843"/>
    <n v="142979"/>
    <n v="1438822"/>
    <n v="807134"/>
    <n v="913132"/>
    <n v="1720266"/>
    <n v="-281444"/>
    <n v="-0.19560723981145686"/>
    <n v="80"/>
    <s v="No"/>
    <n v="4.3"/>
    <s v="Excellent"/>
  </r>
  <r>
    <s v="6E1132"/>
    <d v="2025-05-09T00:00:00"/>
    <x v="0"/>
    <x v="0"/>
    <x v="6"/>
    <x v="6"/>
    <x v="0"/>
    <n v="56"/>
    <n v="78"/>
    <n v="22"/>
    <n v="71.790000000000006"/>
    <x v="0"/>
    <n v="482685"/>
    <n v="144723"/>
    <n v="627408"/>
    <n v="728353"/>
    <n v="920177"/>
    <n v="1648530"/>
    <n v="-1021122"/>
    <n v="-1.6275246729400965"/>
    <n v="51"/>
    <s v="No"/>
    <n v="4.0999999999999996"/>
    <s v="Excellent"/>
  </r>
  <r>
    <s v="6E1133"/>
    <d v="2025-11-06T00:00:00"/>
    <x v="0"/>
    <x v="8"/>
    <x v="9"/>
    <x v="9"/>
    <x v="0"/>
    <n v="53"/>
    <n v="78"/>
    <n v="25"/>
    <n v="67.95"/>
    <x v="0"/>
    <n v="451813"/>
    <n v="33681"/>
    <n v="485494"/>
    <n v="589213"/>
    <n v="929457"/>
    <n v="1518670"/>
    <n v="-1033176"/>
    <n v="-2.1280922112322704"/>
    <n v="3"/>
    <s v="Yes"/>
    <n v="3.8"/>
    <s v="Good"/>
  </r>
  <r>
    <s v="6E1134"/>
    <d v="2025-01-28T00:00:00"/>
    <x v="0"/>
    <x v="10"/>
    <x v="1"/>
    <x v="1"/>
    <x v="0"/>
    <n v="57"/>
    <n v="78"/>
    <n v="21"/>
    <n v="73.08"/>
    <x v="0"/>
    <n v="377432"/>
    <n v="17692"/>
    <n v="395124"/>
    <n v="1044485"/>
    <n v="1251579"/>
    <n v="2296064"/>
    <n v="-1900940"/>
    <n v="-4.8109960417489193"/>
    <n v="56"/>
    <s v="No"/>
    <n v="4.4000000000000004"/>
    <s v="Excellent"/>
  </r>
  <r>
    <s v="6E1135"/>
    <d v="2025-09-28T00:00:00"/>
    <x v="0"/>
    <x v="5"/>
    <x v="7"/>
    <x v="7"/>
    <x v="0"/>
    <n v="54"/>
    <n v="78"/>
    <n v="24"/>
    <n v="69.23"/>
    <x v="0"/>
    <n v="411058"/>
    <n v="15751"/>
    <n v="426809"/>
    <n v="408009"/>
    <n v="788797"/>
    <n v="1196806"/>
    <n v="-769997"/>
    <n v="-1.8040786393913906"/>
    <n v="19"/>
    <s v="No"/>
    <n v="4"/>
    <s v="Excellent"/>
  </r>
  <r>
    <s v="6E1136"/>
    <d v="2025-03-29T00:00:00"/>
    <x v="0"/>
    <x v="4"/>
    <x v="6"/>
    <x v="6"/>
    <x v="1"/>
    <n v="127"/>
    <n v="180"/>
    <n v="53"/>
    <n v="70.56"/>
    <x v="0"/>
    <n v="880000"/>
    <n v="82943"/>
    <n v="962943"/>
    <n v="862387"/>
    <n v="1529972"/>
    <n v="2392359"/>
    <n v="-1429416"/>
    <n v="-1.4844243117193852"/>
    <n v="36"/>
    <s v="No"/>
    <n v="3.5"/>
    <s v="Good"/>
  </r>
  <r>
    <s v="6E1137"/>
    <d v="2025-01-23T00:00:00"/>
    <x v="0"/>
    <x v="10"/>
    <x v="8"/>
    <x v="8"/>
    <x v="0"/>
    <n v="50"/>
    <n v="78"/>
    <n v="28"/>
    <n v="64.099999999999994"/>
    <x v="0"/>
    <n v="217724"/>
    <n v="22280"/>
    <n v="240004"/>
    <n v="846026"/>
    <n v="1470388"/>
    <n v="2316414"/>
    <n v="-2076410"/>
    <n v="-8.6515641405976567"/>
    <n v="62"/>
    <s v="No"/>
    <n v="4.7"/>
    <s v="Excellent"/>
  </r>
  <r>
    <s v="6E1138"/>
    <d v="2025-07-13T00:00:00"/>
    <x v="0"/>
    <x v="2"/>
    <x v="7"/>
    <x v="7"/>
    <x v="1"/>
    <n v="142"/>
    <n v="180"/>
    <n v="38"/>
    <n v="78.89"/>
    <x v="0"/>
    <n v="936188"/>
    <n v="79556"/>
    <n v="1015744"/>
    <n v="702324"/>
    <n v="1110133"/>
    <n v="1812457"/>
    <n v="-796713"/>
    <n v="-0.78436397359964716"/>
    <n v="64"/>
    <s v="No"/>
    <n v="3.9"/>
    <s v="Good"/>
  </r>
  <r>
    <s v="6E1139"/>
    <d v="2025-01-14T00:00:00"/>
    <x v="0"/>
    <x v="10"/>
    <x v="7"/>
    <x v="7"/>
    <x v="1"/>
    <n v="141"/>
    <n v="180"/>
    <n v="39"/>
    <n v="78.33"/>
    <x v="0"/>
    <n v="536586"/>
    <n v="41643"/>
    <n v="578229"/>
    <n v="364031"/>
    <n v="487583"/>
    <n v="851614"/>
    <n v="-273385"/>
    <n v="-0.47279710979560002"/>
    <n v="10"/>
    <s v="Yes"/>
    <n v="4.5"/>
    <s v="Excellent"/>
  </r>
  <r>
    <s v="6E1140"/>
    <d v="2025-08-03T00:00:00"/>
    <x v="0"/>
    <x v="9"/>
    <x v="3"/>
    <x v="3"/>
    <x v="1"/>
    <n v="150"/>
    <n v="180"/>
    <n v="30"/>
    <n v="83.33"/>
    <x v="0"/>
    <n v="1104251"/>
    <n v="30833"/>
    <n v="1135084"/>
    <n v="282884"/>
    <n v="924294"/>
    <n v="1207178"/>
    <n v="-72094"/>
    <n v="-6.3514242117763978E-2"/>
    <n v="63"/>
    <s v="No"/>
    <n v="4.8"/>
    <s v="Excellent"/>
  </r>
  <r>
    <s v="6E1141"/>
    <d v="2025-04-15T00:00:00"/>
    <x v="0"/>
    <x v="6"/>
    <x v="3"/>
    <x v="3"/>
    <x v="2"/>
    <n v="179"/>
    <n v="232"/>
    <n v="53"/>
    <n v="77.16"/>
    <x v="0"/>
    <n v="1348959"/>
    <n v="146985"/>
    <n v="1495944"/>
    <n v="1133836"/>
    <n v="1684274"/>
    <n v="2818110"/>
    <n v="-1322166"/>
    <n v="-0.88383388682998831"/>
    <n v="48"/>
    <s v="No"/>
    <n v="4.5"/>
    <s v="Excellent"/>
  </r>
  <r>
    <s v="6E1142"/>
    <d v="2025-08-03T00:00:00"/>
    <x v="0"/>
    <x v="9"/>
    <x v="7"/>
    <x v="7"/>
    <x v="1"/>
    <n v="154"/>
    <n v="180"/>
    <n v="26"/>
    <n v="85.56"/>
    <x v="1"/>
    <n v="670397"/>
    <n v="46679"/>
    <n v="717076"/>
    <n v="340631"/>
    <n v="981500"/>
    <n v="1322131"/>
    <n v="-605055"/>
    <n v="-0.84378085447009799"/>
    <n v="0"/>
    <s v="Yes"/>
    <n v="4.4000000000000004"/>
    <s v="Excellent"/>
  </r>
  <r>
    <s v="6E1143"/>
    <d v="2025-04-17T00:00:00"/>
    <x v="0"/>
    <x v="6"/>
    <x v="6"/>
    <x v="6"/>
    <x v="1"/>
    <n v="163"/>
    <n v="180"/>
    <n v="17"/>
    <n v="90.56"/>
    <x v="1"/>
    <n v="983809"/>
    <n v="119021"/>
    <n v="1102830"/>
    <n v="1085202"/>
    <n v="1301568"/>
    <n v="2386770"/>
    <n v="-1283940"/>
    <n v="-1.1642229536737303"/>
    <n v="57"/>
    <s v="No"/>
    <n v="4.3"/>
    <s v="Excellent"/>
  </r>
  <r>
    <s v="6E1144"/>
    <d v="2025-06-10T00:00:00"/>
    <x v="0"/>
    <x v="1"/>
    <x v="8"/>
    <x v="8"/>
    <x v="2"/>
    <n v="175"/>
    <n v="232"/>
    <n v="57"/>
    <n v="75.430000000000007"/>
    <x v="0"/>
    <n v="1492622"/>
    <n v="125343"/>
    <n v="1617965"/>
    <n v="712223"/>
    <n v="1008287"/>
    <n v="1720510"/>
    <n v="-102545"/>
    <n v="-6.337899769154462E-2"/>
    <n v="27"/>
    <s v="No"/>
    <n v="3.9"/>
    <s v="Good"/>
  </r>
  <r>
    <s v="6E1145"/>
    <d v="2025-08-16T00:00:00"/>
    <x v="0"/>
    <x v="9"/>
    <x v="1"/>
    <x v="1"/>
    <x v="1"/>
    <n v="176"/>
    <n v="180"/>
    <n v="4"/>
    <n v="97.78"/>
    <x v="1"/>
    <n v="807822"/>
    <n v="130509"/>
    <n v="938331"/>
    <n v="364755"/>
    <n v="606356"/>
    <n v="971111"/>
    <n v="-32780"/>
    <n v="-3.4934367509972496E-2"/>
    <n v="13"/>
    <s v="Yes"/>
    <n v="4.5"/>
    <s v="Excellent"/>
  </r>
  <r>
    <s v="6E1146"/>
    <d v="2025-10-08T00:00:00"/>
    <x v="0"/>
    <x v="7"/>
    <x v="4"/>
    <x v="4"/>
    <x v="0"/>
    <n v="72"/>
    <n v="78"/>
    <n v="6"/>
    <n v="92.31"/>
    <x v="1"/>
    <n v="418031"/>
    <n v="47839"/>
    <n v="465870"/>
    <n v="498234"/>
    <n v="1095584"/>
    <n v="1593818"/>
    <n v="-1127948"/>
    <n v="-2.4211647025994374"/>
    <n v="30"/>
    <s v="No"/>
    <n v="3.9"/>
    <s v="Good"/>
  </r>
  <r>
    <s v="6E1147"/>
    <d v="2025-10-18T00:00:00"/>
    <x v="0"/>
    <x v="7"/>
    <x v="8"/>
    <x v="8"/>
    <x v="1"/>
    <n v="116"/>
    <n v="180"/>
    <n v="64"/>
    <n v="64.44"/>
    <x v="0"/>
    <n v="537477"/>
    <n v="47101"/>
    <n v="584578"/>
    <n v="1042396"/>
    <n v="1483339"/>
    <n v="2525735"/>
    <n v="-1941157"/>
    <n v="-3.3206124760083342"/>
    <n v="25"/>
    <s v="No"/>
    <n v="4.7"/>
    <s v="Excellent"/>
  </r>
  <r>
    <s v="6E1148"/>
    <d v="2025-09-29T00:00:00"/>
    <x v="0"/>
    <x v="5"/>
    <x v="3"/>
    <x v="3"/>
    <x v="1"/>
    <n v="150"/>
    <n v="180"/>
    <n v="30"/>
    <n v="83.33"/>
    <x v="0"/>
    <n v="1002936"/>
    <n v="27661"/>
    <n v="1030597"/>
    <n v="708132"/>
    <n v="1218281"/>
    <n v="1926413"/>
    <n v="-895816"/>
    <n v="-0.86922046153831223"/>
    <n v="17"/>
    <s v="No"/>
    <n v="3.7"/>
    <s v="Good"/>
  </r>
  <r>
    <s v="6E1149"/>
    <d v="2025-03-11T00:00:00"/>
    <x v="0"/>
    <x v="4"/>
    <x v="0"/>
    <x v="0"/>
    <x v="2"/>
    <n v="195"/>
    <n v="232"/>
    <n v="37"/>
    <n v="84.05"/>
    <x v="0"/>
    <n v="1461706"/>
    <n v="105781"/>
    <n v="1567487"/>
    <n v="425764"/>
    <n v="983745"/>
    <n v="1409509"/>
    <n v="157978"/>
    <n v="0.10078424892838027"/>
    <n v="5"/>
    <s v="Yes"/>
    <n v="4.5"/>
    <s v="Excellent"/>
  </r>
  <r>
    <s v="6E1150"/>
    <d v="2025-10-11T00:00:00"/>
    <x v="0"/>
    <x v="7"/>
    <x v="7"/>
    <x v="7"/>
    <x v="1"/>
    <n v="110"/>
    <n v="180"/>
    <n v="70"/>
    <n v="61.11"/>
    <x v="0"/>
    <n v="529831"/>
    <n v="92155"/>
    <n v="621986"/>
    <n v="1165269"/>
    <n v="1279879"/>
    <n v="2445148"/>
    <n v="-1823162"/>
    <n v="-2.9311945928043395"/>
    <n v="21"/>
    <s v="No"/>
    <n v="3.9"/>
    <s v="Good"/>
  </r>
  <r>
    <s v="6E1151"/>
    <d v="2025-07-18T00:00:00"/>
    <x v="0"/>
    <x v="2"/>
    <x v="9"/>
    <x v="9"/>
    <x v="1"/>
    <n v="124"/>
    <n v="180"/>
    <n v="56"/>
    <n v="68.89"/>
    <x v="0"/>
    <n v="759329"/>
    <n v="143595"/>
    <n v="902924"/>
    <n v="488134"/>
    <n v="937988"/>
    <n v="1426122"/>
    <n v="-523198"/>
    <n v="-0.57944854716454541"/>
    <n v="68"/>
    <s v="No"/>
    <n v="3.9"/>
    <s v="Good"/>
  </r>
  <r>
    <s v="6E1152"/>
    <d v="2025-01-04T00:00:00"/>
    <x v="0"/>
    <x v="10"/>
    <x v="0"/>
    <x v="0"/>
    <x v="2"/>
    <n v="158"/>
    <n v="232"/>
    <n v="74"/>
    <n v="68.099999999999994"/>
    <x v="0"/>
    <n v="1102889"/>
    <n v="36293"/>
    <n v="1139182"/>
    <n v="643893"/>
    <n v="1095749"/>
    <n v="1739642"/>
    <n v="-600460"/>
    <n v="-0.52709751383009917"/>
    <n v="60"/>
    <s v="No"/>
    <n v="3.7"/>
    <s v="Good"/>
  </r>
  <r>
    <s v="6E1153"/>
    <d v="2025-07-12T00:00:00"/>
    <x v="0"/>
    <x v="2"/>
    <x v="3"/>
    <x v="3"/>
    <x v="2"/>
    <n v="144"/>
    <n v="232"/>
    <n v="88"/>
    <n v="62.07"/>
    <x v="0"/>
    <n v="570675"/>
    <n v="149758"/>
    <n v="720433"/>
    <n v="636186"/>
    <n v="1285417"/>
    <n v="1921603"/>
    <n v="-1201170"/>
    <n v="-1.6672889776009705"/>
    <n v="52"/>
    <s v="No"/>
    <n v="3.3"/>
    <s v="Good"/>
  </r>
  <r>
    <s v="6E1154"/>
    <d v="2025-07-16T00:00:00"/>
    <x v="0"/>
    <x v="2"/>
    <x v="0"/>
    <x v="0"/>
    <x v="2"/>
    <n v="148"/>
    <n v="232"/>
    <n v="84"/>
    <n v="63.79"/>
    <x v="0"/>
    <n v="1016736"/>
    <n v="32742"/>
    <n v="1049478"/>
    <n v="1150466"/>
    <n v="1410395"/>
    <n v="2560861"/>
    <n v="-1511383"/>
    <n v="-1.4401283304652408"/>
    <n v="87"/>
    <s v="No"/>
    <n v="4.4000000000000004"/>
    <s v="Excellent"/>
  </r>
  <r>
    <s v="6E1155"/>
    <d v="2025-05-17T00:00:00"/>
    <x v="0"/>
    <x v="0"/>
    <x v="7"/>
    <x v="7"/>
    <x v="2"/>
    <n v="179"/>
    <n v="232"/>
    <n v="53"/>
    <n v="77.16"/>
    <x v="0"/>
    <n v="821372"/>
    <n v="132811"/>
    <n v="954183"/>
    <n v="351886"/>
    <n v="1007978"/>
    <n v="1359864"/>
    <n v="-405681"/>
    <n v="-0.42516058240400428"/>
    <n v="55"/>
    <s v="No"/>
    <n v="4.3"/>
    <s v="Excellent"/>
  </r>
  <r>
    <s v="6E1156"/>
    <d v="2025-11-07T00:00:00"/>
    <x v="0"/>
    <x v="8"/>
    <x v="1"/>
    <x v="1"/>
    <x v="1"/>
    <n v="146"/>
    <n v="180"/>
    <n v="34"/>
    <n v="81.11"/>
    <x v="0"/>
    <n v="960323"/>
    <n v="119749"/>
    <n v="1080072"/>
    <n v="322586"/>
    <n v="768194"/>
    <n v="1090780"/>
    <n v="-10708"/>
    <n v="-9.9141538712233992E-3"/>
    <n v="9"/>
    <s v="Yes"/>
    <n v="4.3"/>
    <s v="Excellent"/>
  </r>
  <r>
    <s v="6E1157"/>
    <d v="2025-08-30T00:00:00"/>
    <x v="0"/>
    <x v="9"/>
    <x v="9"/>
    <x v="9"/>
    <x v="0"/>
    <n v="71"/>
    <n v="78"/>
    <n v="7"/>
    <n v="91.03"/>
    <x v="1"/>
    <n v="296102"/>
    <n v="55917"/>
    <n v="352019"/>
    <n v="409797"/>
    <n v="748250"/>
    <n v="1158047"/>
    <n v="-806028"/>
    <n v="-2.2897286794178724"/>
    <n v="58"/>
    <s v="No"/>
    <n v="3.2"/>
    <s v="Good"/>
  </r>
  <r>
    <s v="6E1158"/>
    <d v="2025-12-14T00:00:00"/>
    <x v="0"/>
    <x v="3"/>
    <x v="5"/>
    <x v="5"/>
    <x v="2"/>
    <n v="165"/>
    <n v="232"/>
    <n v="67"/>
    <n v="71.12"/>
    <x v="0"/>
    <n v="821538"/>
    <n v="144010"/>
    <n v="965548"/>
    <n v="800506"/>
    <n v="1092552"/>
    <n v="1893058"/>
    <n v="-927510"/>
    <n v="-0.96060475501994724"/>
    <n v="67"/>
    <s v="No"/>
    <n v="4.0999999999999996"/>
    <s v="Excellent"/>
  </r>
  <r>
    <s v="6E1159"/>
    <d v="2025-03-28T00:00:00"/>
    <x v="0"/>
    <x v="4"/>
    <x v="2"/>
    <x v="2"/>
    <x v="2"/>
    <n v="164"/>
    <n v="232"/>
    <n v="68"/>
    <n v="70.69"/>
    <x v="0"/>
    <n v="904996"/>
    <n v="26708"/>
    <n v="931704"/>
    <n v="854149"/>
    <n v="969115"/>
    <n v="1823264"/>
    <n v="-891560"/>
    <n v="-0.95691335445592163"/>
    <n v="46"/>
    <s v="No"/>
    <n v="4.5"/>
    <s v="Excellent"/>
  </r>
  <r>
    <s v="6E1160"/>
    <d v="2025-01-09T00:00:00"/>
    <x v="0"/>
    <x v="10"/>
    <x v="2"/>
    <x v="2"/>
    <x v="0"/>
    <n v="64"/>
    <n v="78"/>
    <n v="14"/>
    <n v="82.05"/>
    <x v="0"/>
    <n v="246410"/>
    <n v="80399"/>
    <n v="326809"/>
    <n v="558448"/>
    <n v="662085"/>
    <n v="1220533"/>
    <n v="-893724"/>
    <n v="-2.7346982488242366"/>
    <n v="34"/>
    <s v="No"/>
    <n v="3.4"/>
    <s v="Good"/>
  </r>
  <r>
    <s v="6E1161"/>
    <d v="2025-08-15T00:00:00"/>
    <x v="0"/>
    <x v="9"/>
    <x v="8"/>
    <x v="8"/>
    <x v="2"/>
    <n v="152"/>
    <n v="232"/>
    <n v="80"/>
    <n v="65.52"/>
    <x v="0"/>
    <n v="872741"/>
    <n v="99367"/>
    <n v="972108"/>
    <n v="358426"/>
    <n v="798551"/>
    <n v="1156977"/>
    <n v="-184869"/>
    <n v="-0.19017331407621377"/>
    <n v="80"/>
    <s v="No"/>
    <n v="3.4"/>
    <s v="Good"/>
  </r>
  <r>
    <s v="6E1162"/>
    <d v="2025-01-20T00:00:00"/>
    <x v="0"/>
    <x v="10"/>
    <x v="8"/>
    <x v="8"/>
    <x v="1"/>
    <n v="142"/>
    <n v="180"/>
    <n v="38"/>
    <n v="78.89"/>
    <x v="0"/>
    <n v="1107217"/>
    <n v="56959"/>
    <n v="1164176"/>
    <n v="1030123"/>
    <n v="1137832"/>
    <n v="2167955"/>
    <n v="-1003779"/>
    <n v="-0.86222272233751596"/>
    <n v="71"/>
    <s v="No"/>
    <n v="4.0999999999999996"/>
    <s v="Excellent"/>
  </r>
  <r>
    <s v="6E1163"/>
    <d v="2025-06-05T00:00:00"/>
    <x v="0"/>
    <x v="1"/>
    <x v="7"/>
    <x v="7"/>
    <x v="2"/>
    <n v="193"/>
    <n v="232"/>
    <n v="39"/>
    <n v="83.19"/>
    <x v="0"/>
    <n v="725360"/>
    <n v="59936"/>
    <n v="785296"/>
    <n v="401826"/>
    <n v="1060428"/>
    <n v="1462254"/>
    <n v="-676958"/>
    <n v="-0.86204182881359381"/>
    <n v="42"/>
    <s v="No"/>
    <n v="3.5"/>
    <s v="Good"/>
  </r>
  <r>
    <s v="6E1164"/>
    <d v="2025-06-07T00:00:00"/>
    <x v="0"/>
    <x v="1"/>
    <x v="9"/>
    <x v="9"/>
    <x v="1"/>
    <n v="166"/>
    <n v="180"/>
    <n v="14"/>
    <n v="92.22"/>
    <x v="1"/>
    <n v="754571"/>
    <n v="102524"/>
    <n v="857095"/>
    <n v="276737"/>
    <n v="537091"/>
    <n v="813828"/>
    <n v="43267"/>
    <n v="5.0480985188339683E-2"/>
    <n v="76"/>
    <s v="No"/>
    <n v="3.5"/>
    <s v="Good"/>
  </r>
  <r>
    <s v="6E1165"/>
    <d v="2025-04-05T00:00:00"/>
    <x v="0"/>
    <x v="6"/>
    <x v="7"/>
    <x v="7"/>
    <x v="2"/>
    <n v="147"/>
    <n v="232"/>
    <n v="85"/>
    <n v="63.36"/>
    <x v="0"/>
    <n v="704088"/>
    <n v="56656"/>
    <n v="760744"/>
    <n v="1083469"/>
    <n v="1270960"/>
    <n v="2354429"/>
    <n v="-1593685"/>
    <n v="-2.0949031474451325"/>
    <n v="62"/>
    <s v="No"/>
    <n v="4.9000000000000004"/>
    <s v="Excellent"/>
  </r>
  <r>
    <s v="6E1166"/>
    <d v="2025-06-14T00:00:00"/>
    <x v="0"/>
    <x v="1"/>
    <x v="4"/>
    <x v="4"/>
    <x v="0"/>
    <n v="57"/>
    <n v="78"/>
    <n v="21"/>
    <n v="73.08"/>
    <x v="0"/>
    <n v="369705"/>
    <n v="144960"/>
    <n v="514665"/>
    <n v="331237"/>
    <n v="465752"/>
    <n v="796989"/>
    <n v="-282324"/>
    <n v="-0.54855877123954422"/>
    <n v="57"/>
    <s v="No"/>
    <n v="4.2"/>
    <s v="Excellent"/>
  </r>
  <r>
    <s v="6E1167"/>
    <d v="2025-03-23T00:00:00"/>
    <x v="0"/>
    <x v="4"/>
    <x v="6"/>
    <x v="6"/>
    <x v="1"/>
    <n v="135"/>
    <n v="180"/>
    <n v="45"/>
    <n v="75"/>
    <x v="0"/>
    <n v="685796"/>
    <n v="71487"/>
    <n v="757283"/>
    <n v="461219"/>
    <n v="741805"/>
    <n v="1203024"/>
    <n v="-445741"/>
    <n v="-0.58860558074062141"/>
    <n v="20"/>
    <s v="No"/>
    <n v="3.7"/>
    <s v="Good"/>
  </r>
  <r>
    <s v="6E1168"/>
    <d v="2025-07-07T00:00:00"/>
    <x v="0"/>
    <x v="2"/>
    <x v="8"/>
    <x v="8"/>
    <x v="2"/>
    <n v="149"/>
    <n v="232"/>
    <n v="83"/>
    <n v="64.22"/>
    <x v="0"/>
    <n v="1129065"/>
    <n v="55771"/>
    <n v="1184836"/>
    <n v="746197"/>
    <n v="1062057"/>
    <n v="1808254"/>
    <n v="-623418"/>
    <n v="-0.52616395855628961"/>
    <n v="51"/>
    <s v="No"/>
    <n v="3.9"/>
    <s v="Good"/>
  </r>
  <r>
    <s v="6E1169"/>
    <d v="2025-10-29T00:00:00"/>
    <x v="0"/>
    <x v="7"/>
    <x v="0"/>
    <x v="0"/>
    <x v="1"/>
    <n v="125"/>
    <n v="180"/>
    <n v="55"/>
    <n v="69.44"/>
    <x v="0"/>
    <n v="623124"/>
    <n v="128693"/>
    <n v="751817"/>
    <n v="994908"/>
    <n v="1096446"/>
    <n v="2091354"/>
    <n v="-1339537"/>
    <n v="-1.7817327886972494"/>
    <n v="29"/>
    <s v="No"/>
    <n v="3.5"/>
    <s v="Good"/>
  </r>
  <r>
    <s v="6E1170"/>
    <d v="2025-03-01T00:00:00"/>
    <x v="0"/>
    <x v="4"/>
    <x v="8"/>
    <x v="8"/>
    <x v="2"/>
    <n v="198"/>
    <n v="232"/>
    <n v="34"/>
    <n v="85.34"/>
    <x v="1"/>
    <n v="941003"/>
    <n v="24867"/>
    <n v="965870"/>
    <n v="350690"/>
    <n v="647912"/>
    <n v="998602"/>
    <n v="-32732"/>
    <n v="-3.3888618551150773E-2"/>
    <n v="41"/>
    <s v="No"/>
    <n v="4.5999999999999996"/>
    <s v="Excellent"/>
  </r>
  <r>
    <s v="6E1171"/>
    <d v="2025-06-09T00:00:00"/>
    <x v="0"/>
    <x v="1"/>
    <x v="1"/>
    <x v="1"/>
    <x v="1"/>
    <n v="143"/>
    <n v="180"/>
    <n v="37"/>
    <n v="79.44"/>
    <x v="0"/>
    <n v="867168"/>
    <n v="39559"/>
    <n v="906727"/>
    <n v="524785"/>
    <n v="970866"/>
    <n v="1495651"/>
    <n v="-588924"/>
    <n v="-0.64950530865409328"/>
    <n v="78"/>
    <s v="No"/>
    <n v="4.7"/>
    <s v="Excellent"/>
  </r>
  <r>
    <s v="6E1172"/>
    <d v="2025-10-18T00:00:00"/>
    <x v="0"/>
    <x v="7"/>
    <x v="0"/>
    <x v="0"/>
    <x v="2"/>
    <n v="152"/>
    <n v="232"/>
    <n v="80"/>
    <n v="65.52"/>
    <x v="0"/>
    <n v="1071784"/>
    <n v="126826"/>
    <n v="1198610"/>
    <n v="734014"/>
    <n v="949943"/>
    <n v="1683957"/>
    <n v="-485347"/>
    <n v="-0.40492487130926658"/>
    <n v="62"/>
    <s v="No"/>
    <n v="4.4000000000000004"/>
    <s v="Excellent"/>
  </r>
  <r>
    <s v="6E1173"/>
    <d v="2025-02-02T00:00:00"/>
    <x v="0"/>
    <x v="11"/>
    <x v="1"/>
    <x v="1"/>
    <x v="1"/>
    <n v="131"/>
    <n v="180"/>
    <n v="49"/>
    <n v="72.78"/>
    <x v="0"/>
    <n v="900672"/>
    <n v="103462"/>
    <n v="1004134"/>
    <n v="847195"/>
    <n v="996666"/>
    <n v="1843861"/>
    <n v="-839727"/>
    <n v="-0.83626986039711826"/>
    <n v="45"/>
    <s v="No"/>
    <n v="3.9"/>
    <s v="Good"/>
  </r>
  <r>
    <s v="6E1174"/>
    <d v="2025-03-18T00:00:00"/>
    <x v="0"/>
    <x v="4"/>
    <x v="4"/>
    <x v="4"/>
    <x v="1"/>
    <n v="164"/>
    <n v="180"/>
    <n v="16"/>
    <n v="91.11"/>
    <x v="1"/>
    <n v="698321"/>
    <n v="119637"/>
    <n v="817958"/>
    <n v="729167"/>
    <n v="1360046"/>
    <n v="2089213"/>
    <n v="-1271255"/>
    <n v="-1.5541812660307741"/>
    <n v="79"/>
    <s v="No"/>
    <n v="4.4000000000000004"/>
    <s v="Excellent"/>
  </r>
  <r>
    <s v="6E1175"/>
    <d v="2025-01-29T00:00:00"/>
    <x v="0"/>
    <x v="10"/>
    <x v="2"/>
    <x v="2"/>
    <x v="1"/>
    <n v="132"/>
    <n v="180"/>
    <n v="48"/>
    <n v="73.33"/>
    <x v="0"/>
    <n v="650853"/>
    <n v="88843"/>
    <n v="739696"/>
    <n v="782162"/>
    <n v="1477956"/>
    <n v="2260118"/>
    <n v="-1520422"/>
    <n v="-2.0554687331011658"/>
    <n v="55"/>
    <s v="No"/>
    <n v="4.7"/>
    <s v="Excellent"/>
  </r>
  <r>
    <s v="6E1176"/>
    <d v="2025-08-18T00:00:00"/>
    <x v="0"/>
    <x v="9"/>
    <x v="7"/>
    <x v="7"/>
    <x v="0"/>
    <n v="54"/>
    <n v="78"/>
    <n v="24"/>
    <n v="69.23"/>
    <x v="0"/>
    <n v="301029"/>
    <n v="96620"/>
    <n v="397649"/>
    <n v="711505"/>
    <n v="1083470"/>
    <n v="1794975"/>
    <n v="-1397326"/>
    <n v="-3.5139683489710776"/>
    <n v="87"/>
    <s v="No"/>
    <n v="4.0999999999999996"/>
    <s v="Excellent"/>
  </r>
  <r>
    <s v="6E1177"/>
    <d v="2025-01-07T00:00:00"/>
    <x v="0"/>
    <x v="10"/>
    <x v="3"/>
    <x v="3"/>
    <x v="0"/>
    <n v="74"/>
    <n v="78"/>
    <n v="4"/>
    <n v="94.87"/>
    <x v="1"/>
    <n v="644701"/>
    <n v="109859"/>
    <n v="754560"/>
    <n v="1082201"/>
    <n v="1621434"/>
    <n v="2703635"/>
    <n v="-1949075"/>
    <n v="-2.5830616518235794"/>
    <n v="83"/>
    <s v="No"/>
    <n v="3.9"/>
    <s v="Good"/>
  </r>
  <r>
    <s v="6E1178"/>
    <d v="2025-09-10T00:00:00"/>
    <x v="0"/>
    <x v="5"/>
    <x v="3"/>
    <x v="3"/>
    <x v="0"/>
    <n v="76"/>
    <n v="78"/>
    <n v="2"/>
    <n v="97.44"/>
    <x v="1"/>
    <n v="649616"/>
    <n v="19318"/>
    <n v="668934"/>
    <n v="590873"/>
    <n v="750204"/>
    <n v="1341077"/>
    <n v="-672143"/>
    <n v="-1.0047971847745816"/>
    <n v="85"/>
    <s v="No"/>
    <n v="4.5999999999999996"/>
    <s v="Excellent"/>
  </r>
  <r>
    <s v="6E1179"/>
    <d v="2025-11-02T00:00:00"/>
    <x v="0"/>
    <x v="8"/>
    <x v="3"/>
    <x v="3"/>
    <x v="0"/>
    <n v="63"/>
    <n v="78"/>
    <n v="15"/>
    <n v="80.77"/>
    <x v="0"/>
    <n v="526088"/>
    <n v="114828"/>
    <n v="640916"/>
    <n v="567495"/>
    <n v="704117"/>
    <n v="1271612"/>
    <n v="-630696"/>
    <n v="-0.98405407260857902"/>
    <n v="80"/>
    <s v="No"/>
    <n v="3.3"/>
    <s v="Good"/>
  </r>
  <r>
    <s v="6E1180"/>
    <d v="2025-02-17T00:00:00"/>
    <x v="0"/>
    <x v="11"/>
    <x v="3"/>
    <x v="3"/>
    <x v="0"/>
    <n v="55"/>
    <n v="78"/>
    <n v="23"/>
    <n v="70.510000000000005"/>
    <x v="0"/>
    <n v="347331"/>
    <n v="101078"/>
    <n v="448409"/>
    <n v="1053306"/>
    <n v="1636644"/>
    <n v="2689950"/>
    <n v="-2241541"/>
    <n v="-4.9988760261279319"/>
    <n v="87"/>
    <s v="No"/>
    <n v="4.4000000000000004"/>
    <s v="Excellent"/>
  </r>
  <r>
    <s v="6E1181"/>
    <d v="2025-10-06T00:00:00"/>
    <x v="0"/>
    <x v="7"/>
    <x v="5"/>
    <x v="5"/>
    <x v="1"/>
    <n v="129"/>
    <n v="180"/>
    <n v="51"/>
    <n v="71.67"/>
    <x v="0"/>
    <n v="453015"/>
    <n v="83149"/>
    <n v="536164"/>
    <n v="768433"/>
    <n v="1319481"/>
    <n v="2087914"/>
    <n v="-1551750"/>
    <n v="-2.8941704403876427"/>
    <n v="82"/>
    <s v="No"/>
    <n v="3.7"/>
    <s v="Good"/>
  </r>
  <r>
    <s v="6E1182"/>
    <d v="2025-09-07T00:00:00"/>
    <x v="0"/>
    <x v="5"/>
    <x v="3"/>
    <x v="3"/>
    <x v="1"/>
    <n v="138"/>
    <n v="180"/>
    <n v="42"/>
    <n v="76.67"/>
    <x v="0"/>
    <n v="489065"/>
    <n v="132471"/>
    <n v="621536"/>
    <n v="767081"/>
    <n v="1009243"/>
    <n v="1776324"/>
    <n v="-1154788"/>
    <n v="-1.8579583483498945"/>
    <n v="41"/>
    <s v="No"/>
    <n v="4.0999999999999996"/>
    <s v="Excellent"/>
  </r>
  <r>
    <s v="6E1183"/>
    <d v="2025-03-22T00:00:00"/>
    <x v="0"/>
    <x v="4"/>
    <x v="3"/>
    <x v="3"/>
    <x v="2"/>
    <n v="180"/>
    <n v="232"/>
    <n v="52"/>
    <n v="77.59"/>
    <x v="0"/>
    <n v="851250"/>
    <n v="35554"/>
    <n v="886804"/>
    <n v="1054630"/>
    <n v="1588630"/>
    <n v="2643260"/>
    <n v="-1756456"/>
    <n v="-1.9806586348279891"/>
    <n v="69"/>
    <s v="No"/>
    <n v="3.8"/>
    <s v="Good"/>
  </r>
  <r>
    <s v="6E1184"/>
    <d v="2025-09-13T00:00:00"/>
    <x v="0"/>
    <x v="5"/>
    <x v="3"/>
    <x v="3"/>
    <x v="0"/>
    <n v="74"/>
    <n v="78"/>
    <n v="4"/>
    <n v="94.87"/>
    <x v="1"/>
    <n v="606033"/>
    <n v="108349"/>
    <n v="714382"/>
    <n v="1001630"/>
    <n v="1674594"/>
    <n v="2676224"/>
    <n v="-1961842"/>
    <n v="-2.7462086110792265"/>
    <n v="11"/>
    <s v="Yes"/>
    <n v="4.8"/>
    <s v="Excellent"/>
  </r>
  <r>
    <s v="6E1185"/>
    <d v="2025-07-18T00:00:00"/>
    <x v="0"/>
    <x v="2"/>
    <x v="8"/>
    <x v="8"/>
    <x v="2"/>
    <n v="183"/>
    <n v="232"/>
    <n v="49"/>
    <n v="78.88"/>
    <x v="0"/>
    <n v="1045631"/>
    <n v="126992"/>
    <n v="1172623"/>
    <n v="970567"/>
    <n v="1587357"/>
    <n v="2557924"/>
    <n v="-1385301"/>
    <n v="-1.1813694597496383"/>
    <n v="62"/>
    <s v="No"/>
    <n v="4.3"/>
    <s v="Excellent"/>
  </r>
  <r>
    <s v="6E1186"/>
    <d v="2025-11-29T00:00:00"/>
    <x v="0"/>
    <x v="8"/>
    <x v="4"/>
    <x v="4"/>
    <x v="1"/>
    <n v="132"/>
    <n v="180"/>
    <n v="48"/>
    <n v="73.33"/>
    <x v="0"/>
    <n v="699408"/>
    <n v="91904"/>
    <n v="791312"/>
    <n v="427994"/>
    <n v="1075604"/>
    <n v="1503598"/>
    <n v="-712286"/>
    <n v="-0.90013294376933495"/>
    <n v="47"/>
    <s v="No"/>
    <n v="4.7"/>
    <s v="Excellent"/>
  </r>
  <r>
    <s v="6E1187"/>
    <d v="2025-09-11T00:00:00"/>
    <x v="0"/>
    <x v="5"/>
    <x v="5"/>
    <x v="5"/>
    <x v="0"/>
    <n v="68"/>
    <n v="78"/>
    <n v="10"/>
    <n v="87.18"/>
    <x v="1"/>
    <n v="556951"/>
    <n v="79473"/>
    <n v="636424"/>
    <n v="529539"/>
    <n v="783397"/>
    <n v="1312936"/>
    <n v="-676512"/>
    <n v="-1.0629894535718327"/>
    <n v="40"/>
    <s v="No"/>
    <n v="3.5"/>
    <s v="Good"/>
  </r>
  <r>
    <s v="6E1188"/>
    <d v="2025-06-10T00:00:00"/>
    <x v="0"/>
    <x v="1"/>
    <x v="2"/>
    <x v="2"/>
    <x v="0"/>
    <n v="55"/>
    <n v="78"/>
    <n v="23"/>
    <n v="70.510000000000005"/>
    <x v="0"/>
    <n v="407632"/>
    <n v="147739"/>
    <n v="555371"/>
    <n v="578484"/>
    <n v="1001684"/>
    <n v="1580168"/>
    <n v="-1024797"/>
    <n v="-1.8452475912498132"/>
    <n v="36"/>
    <s v="No"/>
    <n v="4.0999999999999996"/>
    <s v="Excellent"/>
  </r>
  <r>
    <s v="6E1189"/>
    <d v="2025-10-02T00:00:00"/>
    <x v="0"/>
    <x v="7"/>
    <x v="5"/>
    <x v="5"/>
    <x v="1"/>
    <n v="174"/>
    <n v="180"/>
    <n v="6"/>
    <n v="96.67"/>
    <x v="1"/>
    <n v="1391741"/>
    <n v="57848"/>
    <n v="1449589"/>
    <n v="270263"/>
    <n v="546337"/>
    <n v="816600"/>
    <n v="632989"/>
    <n v="0.43666791069744598"/>
    <n v="21"/>
    <s v="No"/>
    <n v="3.2"/>
    <s v="Good"/>
  </r>
  <r>
    <s v="6E1190"/>
    <d v="2025-05-11T00:00:00"/>
    <x v="0"/>
    <x v="0"/>
    <x v="5"/>
    <x v="5"/>
    <x v="2"/>
    <n v="175"/>
    <n v="232"/>
    <n v="57"/>
    <n v="75.430000000000007"/>
    <x v="0"/>
    <n v="1146419"/>
    <n v="69969"/>
    <n v="1216388"/>
    <n v="853435"/>
    <n v="1440356"/>
    <n v="2293791"/>
    <n v="-1077403"/>
    <n v="-0.88573958309355239"/>
    <n v="36"/>
    <s v="No"/>
    <n v="4.2"/>
    <s v="Excellent"/>
  </r>
  <r>
    <s v="6E1191"/>
    <d v="2025-09-27T00:00:00"/>
    <x v="0"/>
    <x v="5"/>
    <x v="5"/>
    <x v="5"/>
    <x v="0"/>
    <n v="62"/>
    <n v="78"/>
    <n v="16"/>
    <n v="79.489999999999995"/>
    <x v="0"/>
    <n v="519103"/>
    <n v="16772"/>
    <n v="535875"/>
    <n v="903315"/>
    <n v="1365310"/>
    <n v="2268625"/>
    <n v="-1732750"/>
    <n v="-3.2334966176813622"/>
    <n v="13"/>
    <s v="Yes"/>
    <n v="4.2"/>
    <s v="Excellent"/>
  </r>
  <r>
    <s v="6E1192"/>
    <d v="2025-05-26T00:00:00"/>
    <x v="0"/>
    <x v="0"/>
    <x v="9"/>
    <x v="9"/>
    <x v="0"/>
    <n v="53"/>
    <n v="78"/>
    <n v="25"/>
    <n v="67.95"/>
    <x v="0"/>
    <n v="425852"/>
    <n v="88593"/>
    <n v="514445"/>
    <n v="641508"/>
    <n v="1099859"/>
    <n v="1741367"/>
    <n v="-1226922"/>
    <n v="-2.3849429968218177"/>
    <n v="82"/>
    <s v="No"/>
    <n v="3.7"/>
    <s v="Good"/>
  </r>
  <r>
    <s v="6E1193"/>
    <d v="2025-06-29T00:00:00"/>
    <x v="0"/>
    <x v="1"/>
    <x v="4"/>
    <x v="4"/>
    <x v="2"/>
    <n v="168"/>
    <n v="232"/>
    <n v="64"/>
    <n v="72.41"/>
    <x v="0"/>
    <n v="1253802"/>
    <n v="89370"/>
    <n v="1343172"/>
    <n v="1018014"/>
    <n v="1637868"/>
    <n v="2655882"/>
    <n v="-1312710"/>
    <n v="-0.97732084945189446"/>
    <n v="80"/>
    <s v="No"/>
    <n v="3.8"/>
    <s v="Good"/>
  </r>
  <r>
    <s v="6E1194"/>
    <d v="2025-05-31T00:00:00"/>
    <x v="0"/>
    <x v="0"/>
    <x v="0"/>
    <x v="0"/>
    <x v="0"/>
    <n v="71"/>
    <n v="78"/>
    <n v="7"/>
    <n v="91.03"/>
    <x v="1"/>
    <n v="386839"/>
    <n v="23478"/>
    <n v="410317"/>
    <n v="981784"/>
    <n v="1432405"/>
    <n v="2414189"/>
    <n v="-2003872"/>
    <n v="-4.8837167360845397"/>
    <n v="69"/>
    <s v="No"/>
    <n v="4.7"/>
    <s v="Excellent"/>
  </r>
  <r>
    <s v="6E1195"/>
    <d v="2025-09-27T00:00:00"/>
    <x v="0"/>
    <x v="5"/>
    <x v="2"/>
    <x v="2"/>
    <x v="1"/>
    <n v="110"/>
    <n v="180"/>
    <n v="70"/>
    <n v="61.11"/>
    <x v="0"/>
    <n v="391892"/>
    <n v="111038"/>
    <n v="502930"/>
    <n v="887075"/>
    <n v="1118121"/>
    <n v="2005196"/>
    <n v="-1502266"/>
    <n v="-2.9870280158272524"/>
    <n v="72"/>
    <s v="No"/>
    <n v="3.8"/>
    <s v="Good"/>
  </r>
  <r>
    <s v="6E1196"/>
    <d v="2025-02-08T00:00:00"/>
    <x v="0"/>
    <x v="11"/>
    <x v="1"/>
    <x v="1"/>
    <x v="0"/>
    <n v="76"/>
    <n v="78"/>
    <n v="2"/>
    <n v="97.44"/>
    <x v="1"/>
    <n v="317265"/>
    <n v="106512"/>
    <n v="423777"/>
    <n v="293877"/>
    <n v="717692"/>
    <n v="1011569"/>
    <n v="-587792"/>
    <n v="-1.3870313867906943"/>
    <n v="3"/>
    <s v="Yes"/>
    <n v="4.5999999999999996"/>
    <s v="Excellent"/>
  </r>
  <r>
    <s v="6E1197"/>
    <d v="2025-07-04T00:00:00"/>
    <x v="0"/>
    <x v="2"/>
    <x v="0"/>
    <x v="0"/>
    <x v="0"/>
    <n v="68"/>
    <n v="78"/>
    <n v="10"/>
    <n v="87.18"/>
    <x v="1"/>
    <n v="365649"/>
    <n v="76202"/>
    <n v="441851"/>
    <n v="1057521"/>
    <n v="1679725"/>
    <n v="2737246"/>
    <n v="-2295395"/>
    <n v="-5.1949525971424757"/>
    <n v="27"/>
    <s v="No"/>
    <n v="4.5999999999999996"/>
    <s v="Excellent"/>
  </r>
  <r>
    <s v="6E1198"/>
    <d v="2025-02-05T00:00:00"/>
    <x v="0"/>
    <x v="11"/>
    <x v="0"/>
    <x v="0"/>
    <x v="2"/>
    <n v="177"/>
    <n v="232"/>
    <n v="55"/>
    <n v="76.290000000000006"/>
    <x v="0"/>
    <n v="650888"/>
    <n v="117020"/>
    <n v="767908"/>
    <n v="799128"/>
    <n v="906460"/>
    <n v="1705588"/>
    <n v="-937680"/>
    <n v="-1.2210837756606261"/>
    <n v="2"/>
    <s v="Yes"/>
    <n v="3.4"/>
    <s v="Good"/>
  </r>
  <r>
    <s v="6E1199"/>
    <d v="2025-10-19T00:00:00"/>
    <x v="0"/>
    <x v="7"/>
    <x v="6"/>
    <x v="6"/>
    <x v="1"/>
    <n v="150"/>
    <n v="180"/>
    <n v="30"/>
    <n v="83.33"/>
    <x v="0"/>
    <n v="729644"/>
    <n v="120876"/>
    <n v="850520"/>
    <n v="632105"/>
    <n v="784286"/>
    <n v="1416391"/>
    <n v="-565871"/>
    <n v="-0.66532356675915916"/>
    <n v="88"/>
    <s v="No"/>
    <n v="4"/>
    <s v="Excellent"/>
  </r>
  <r>
    <s v="6E1200"/>
    <d v="2025-11-26T00:00:00"/>
    <x v="0"/>
    <x v="8"/>
    <x v="1"/>
    <x v="1"/>
    <x v="1"/>
    <n v="166"/>
    <n v="180"/>
    <n v="14"/>
    <n v="92.22"/>
    <x v="1"/>
    <n v="1433089"/>
    <n v="75615"/>
    <n v="1508704"/>
    <n v="963344"/>
    <n v="1584411"/>
    <n v="2547755"/>
    <n v="-1039051"/>
    <n v="-0.68870434492120391"/>
    <n v="29"/>
    <s v="No"/>
    <n v="3.9"/>
    <s v="Good"/>
  </r>
  <r>
    <s v="6E1201"/>
    <d v="2025-05-24T00:00:00"/>
    <x v="0"/>
    <x v="0"/>
    <x v="2"/>
    <x v="2"/>
    <x v="0"/>
    <n v="53"/>
    <n v="78"/>
    <n v="25"/>
    <n v="67.95"/>
    <x v="0"/>
    <n v="190739"/>
    <n v="101373"/>
    <n v="292112"/>
    <n v="529347"/>
    <n v="1185919"/>
    <n v="1715266"/>
    <n v="-1423154"/>
    <n v="-4.871946376732212"/>
    <n v="11"/>
    <s v="Yes"/>
    <n v="3.7"/>
    <s v="Good"/>
  </r>
  <r>
    <s v="6E1202"/>
    <d v="2025-02-20T00:00:00"/>
    <x v="0"/>
    <x v="11"/>
    <x v="7"/>
    <x v="7"/>
    <x v="0"/>
    <n v="74"/>
    <n v="78"/>
    <n v="4"/>
    <n v="94.87"/>
    <x v="1"/>
    <n v="441417"/>
    <n v="129254"/>
    <n v="570671"/>
    <n v="1150375"/>
    <n v="1606664"/>
    <n v="2757039"/>
    <n v="-2186368"/>
    <n v="-3.8312232442160195"/>
    <n v="14"/>
    <s v="Yes"/>
    <n v="4.0999999999999996"/>
    <s v="Excellent"/>
  </r>
  <r>
    <s v="6E1203"/>
    <d v="2025-05-27T00:00:00"/>
    <x v="0"/>
    <x v="0"/>
    <x v="8"/>
    <x v="8"/>
    <x v="1"/>
    <n v="136"/>
    <n v="180"/>
    <n v="44"/>
    <n v="75.56"/>
    <x v="0"/>
    <n v="1044062"/>
    <n v="59430"/>
    <n v="1103492"/>
    <n v="1142128"/>
    <n v="1510868"/>
    <n v="2652996"/>
    <n v="-1549504"/>
    <n v="-1.4041823592740137"/>
    <n v="88"/>
    <s v="No"/>
    <n v="4.0999999999999996"/>
    <s v="Excellent"/>
  </r>
  <r>
    <s v="6E1204"/>
    <d v="2025-04-09T00:00:00"/>
    <x v="0"/>
    <x v="6"/>
    <x v="8"/>
    <x v="8"/>
    <x v="2"/>
    <n v="185"/>
    <n v="232"/>
    <n v="47"/>
    <n v="79.739999999999995"/>
    <x v="0"/>
    <n v="1500262"/>
    <n v="49946"/>
    <n v="1550208"/>
    <n v="405976"/>
    <n v="754479"/>
    <n v="1160455"/>
    <n v="389753"/>
    <n v="0.25141980947072912"/>
    <n v="73"/>
    <s v="No"/>
    <n v="4.3"/>
    <s v="Excellent"/>
  </r>
  <r>
    <s v="6E1205"/>
    <d v="2025-08-01T00:00:00"/>
    <x v="0"/>
    <x v="9"/>
    <x v="0"/>
    <x v="0"/>
    <x v="1"/>
    <n v="146"/>
    <n v="180"/>
    <n v="34"/>
    <n v="81.11"/>
    <x v="0"/>
    <n v="750863"/>
    <n v="119750"/>
    <n v="870613"/>
    <n v="278601"/>
    <n v="929685"/>
    <n v="1208286"/>
    <n v="-337673"/>
    <n v="-0.38785660218719453"/>
    <n v="56"/>
    <s v="No"/>
    <n v="4.3"/>
    <s v="Excellent"/>
  </r>
  <r>
    <s v="6E1206"/>
    <d v="2025-05-07T00:00:00"/>
    <x v="0"/>
    <x v="0"/>
    <x v="5"/>
    <x v="5"/>
    <x v="1"/>
    <n v="148"/>
    <n v="180"/>
    <n v="32"/>
    <n v="82.22"/>
    <x v="0"/>
    <n v="674684"/>
    <n v="110658"/>
    <n v="785342"/>
    <n v="1090138"/>
    <n v="1425330"/>
    <n v="2515468"/>
    <n v="-1730126"/>
    <n v="-2.2030223775119628"/>
    <n v="63"/>
    <s v="No"/>
    <n v="4.5999999999999996"/>
    <s v="Excellent"/>
  </r>
  <r>
    <s v="6E1207"/>
    <d v="2025-10-21T00:00:00"/>
    <x v="0"/>
    <x v="7"/>
    <x v="0"/>
    <x v="0"/>
    <x v="1"/>
    <n v="154"/>
    <n v="180"/>
    <n v="26"/>
    <n v="85.56"/>
    <x v="1"/>
    <n v="653812"/>
    <n v="19580"/>
    <n v="673392"/>
    <n v="345318"/>
    <n v="929485"/>
    <n v="1274803"/>
    <n v="-601411"/>
    <n v="-0.89310683821607617"/>
    <n v="22"/>
    <s v="No"/>
    <n v="3.4"/>
    <s v="Good"/>
  </r>
  <r>
    <s v="6E1208"/>
    <d v="2025-04-03T00:00:00"/>
    <x v="0"/>
    <x v="6"/>
    <x v="3"/>
    <x v="3"/>
    <x v="1"/>
    <n v="117"/>
    <n v="180"/>
    <n v="63"/>
    <n v="65"/>
    <x v="0"/>
    <n v="966911"/>
    <n v="25617"/>
    <n v="992528"/>
    <n v="395114"/>
    <n v="650415"/>
    <n v="1045529"/>
    <n v="-53001"/>
    <n v="-5.3400004836135606E-2"/>
    <n v="33"/>
    <s v="No"/>
    <n v="4.0999999999999996"/>
    <s v="Excellent"/>
  </r>
  <r>
    <s v="6E1209"/>
    <d v="2025-10-15T00:00:00"/>
    <x v="0"/>
    <x v="7"/>
    <x v="8"/>
    <x v="8"/>
    <x v="2"/>
    <n v="161"/>
    <n v="232"/>
    <n v="71"/>
    <n v="69.400000000000006"/>
    <x v="0"/>
    <n v="963657"/>
    <n v="60693"/>
    <n v="1024350"/>
    <n v="1029400"/>
    <n v="1616886"/>
    <n v="2646286"/>
    <n v="-1621936"/>
    <n v="-1.5833806804314932"/>
    <n v="25"/>
    <s v="No"/>
    <n v="4.5"/>
    <s v="Excellent"/>
  </r>
  <r>
    <s v="6E1210"/>
    <d v="2025-02-27T00:00:00"/>
    <x v="0"/>
    <x v="11"/>
    <x v="7"/>
    <x v="7"/>
    <x v="2"/>
    <n v="145"/>
    <n v="232"/>
    <n v="87"/>
    <n v="62.5"/>
    <x v="0"/>
    <n v="875584"/>
    <n v="35026"/>
    <n v="910610"/>
    <n v="1178450"/>
    <n v="1529169"/>
    <n v="2707619"/>
    <n v="-1797009"/>
    <n v="-1.9734123279999121"/>
    <n v="37"/>
    <s v="No"/>
    <n v="4.8"/>
    <s v="Excellent"/>
  </r>
  <r>
    <s v="6E1211"/>
    <d v="2025-07-25T00:00:00"/>
    <x v="0"/>
    <x v="2"/>
    <x v="3"/>
    <x v="3"/>
    <x v="2"/>
    <n v="226"/>
    <n v="232"/>
    <n v="6"/>
    <n v="97.41"/>
    <x v="1"/>
    <n v="836075"/>
    <n v="27226"/>
    <n v="863301"/>
    <n v="1069055"/>
    <n v="1675773"/>
    <n v="2744828"/>
    <n v="-1881527"/>
    <n v="-2.1794565279085742"/>
    <n v="68"/>
    <s v="No"/>
    <n v="3.4"/>
    <s v="Good"/>
  </r>
  <r>
    <s v="6E1212"/>
    <d v="2025-10-12T00:00:00"/>
    <x v="0"/>
    <x v="7"/>
    <x v="3"/>
    <x v="3"/>
    <x v="0"/>
    <n v="67"/>
    <n v="78"/>
    <n v="11"/>
    <n v="85.9"/>
    <x v="1"/>
    <n v="405156"/>
    <n v="89897"/>
    <n v="495053"/>
    <n v="593837"/>
    <n v="1256467"/>
    <n v="1850304"/>
    <n v="-1355251"/>
    <n v="-2.73758769263089"/>
    <n v="88"/>
    <s v="No"/>
    <n v="4"/>
    <s v="Excellent"/>
  </r>
  <r>
    <s v="6E1213"/>
    <d v="2025-10-22T00:00:00"/>
    <x v="0"/>
    <x v="7"/>
    <x v="8"/>
    <x v="8"/>
    <x v="0"/>
    <n v="71"/>
    <n v="78"/>
    <n v="7"/>
    <n v="91.03"/>
    <x v="1"/>
    <n v="431986"/>
    <n v="43535"/>
    <n v="475521"/>
    <n v="532565"/>
    <n v="676952"/>
    <n v="1209517"/>
    <n v="-733996"/>
    <n v="-1.5435616933847296"/>
    <n v="77"/>
    <s v="No"/>
    <n v="3.9"/>
    <s v="Good"/>
  </r>
  <r>
    <s v="6E1214"/>
    <d v="2025-03-06T00:00:00"/>
    <x v="0"/>
    <x v="4"/>
    <x v="0"/>
    <x v="0"/>
    <x v="1"/>
    <n v="175"/>
    <n v="180"/>
    <n v="5"/>
    <n v="97.22"/>
    <x v="1"/>
    <n v="1189988"/>
    <n v="133994"/>
    <n v="1323982"/>
    <n v="1113784"/>
    <n v="1533774"/>
    <n v="2647558"/>
    <n v="-1323576"/>
    <n v="-0.99969334930535314"/>
    <n v="14"/>
    <s v="Yes"/>
    <n v="4.4000000000000004"/>
    <s v="Excellent"/>
  </r>
  <r>
    <s v="6E1215"/>
    <d v="2025-01-03T00:00:00"/>
    <x v="0"/>
    <x v="10"/>
    <x v="2"/>
    <x v="2"/>
    <x v="0"/>
    <n v="61"/>
    <n v="78"/>
    <n v="17"/>
    <n v="78.209999999999994"/>
    <x v="0"/>
    <n v="277967"/>
    <n v="74234"/>
    <n v="352201"/>
    <n v="1134983"/>
    <n v="1656122"/>
    <n v="2791105"/>
    <n v="-2438904"/>
    <n v="-6.9247503556207963"/>
    <n v="52"/>
    <s v="No"/>
    <n v="3.4"/>
    <s v="Good"/>
  </r>
  <r>
    <s v="6E1216"/>
    <d v="2025-12-08T00:00:00"/>
    <x v="0"/>
    <x v="3"/>
    <x v="0"/>
    <x v="0"/>
    <x v="1"/>
    <n v="150"/>
    <n v="180"/>
    <n v="30"/>
    <n v="83.33"/>
    <x v="0"/>
    <n v="559501"/>
    <n v="74047"/>
    <n v="633548"/>
    <n v="631444"/>
    <n v="1249738"/>
    <n v="1881182"/>
    <n v="-1247634"/>
    <n v="-1.9692809384608585"/>
    <n v="75"/>
    <s v="No"/>
    <n v="3.4"/>
    <s v="Good"/>
  </r>
  <r>
    <s v="6E1217"/>
    <d v="2025-11-29T00:00:00"/>
    <x v="0"/>
    <x v="8"/>
    <x v="2"/>
    <x v="2"/>
    <x v="0"/>
    <n v="61"/>
    <n v="78"/>
    <n v="17"/>
    <n v="78.209999999999994"/>
    <x v="0"/>
    <n v="460610"/>
    <n v="45679"/>
    <n v="506289"/>
    <n v="1133361"/>
    <n v="1397798"/>
    <n v="2531159"/>
    <n v="-2024870"/>
    <n v="-3.9994351052462132"/>
    <n v="52"/>
    <s v="No"/>
    <n v="4.5"/>
    <s v="Excellent"/>
  </r>
  <r>
    <s v="6E1218"/>
    <d v="2025-04-02T00:00:00"/>
    <x v="0"/>
    <x v="6"/>
    <x v="9"/>
    <x v="9"/>
    <x v="0"/>
    <n v="53"/>
    <n v="78"/>
    <n v="25"/>
    <n v="67.95"/>
    <x v="0"/>
    <n v="334064"/>
    <n v="57638"/>
    <n v="391702"/>
    <n v="1120232"/>
    <n v="1391975"/>
    <n v="2512207"/>
    <n v="-2120505"/>
    <n v="-5.4135669463010148"/>
    <n v="36"/>
    <s v="No"/>
    <n v="4.4000000000000004"/>
    <s v="Excellent"/>
  </r>
  <r>
    <s v="6E1219"/>
    <d v="2025-01-19T00:00:00"/>
    <x v="0"/>
    <x v="10"/>
    <x v="7"/>
    <x v="7"/>
    <x v="0"/>
    <n v="70"/>
    <n v="78"/>
    <n v="8"/>
    <n v="89.74"/>
    <x v="1"/>
    <n v="483802"/>
    <n v="38235"/>
    <n v="522037"/>
    <n v="1116957"/>
    <n v="1220890"/>
    <n v="2337847"/>
    <n v="-1815810"/>
    <n v="-3.4783166710405586"/>
    <n v="14"/>
    <s v="Yes"/>
    <n v="4.5"/>
    <s v="Excellent"/>
  </r>
  <r>
    <s v="6E1220"/>
    <d v="2025-07-18T00:00:00"/>
    <x v="0"/>
    <x v="2"/>
    <x v="6"/>
    <x v="6"/>
    <x v="0"/>
    <n v="63"/>
    <n v="78"/>
    <n v="15"/>
    <n v="80.77"/>
    <x v="0"/>
    <n v="546520"/>
    <n v="86498"/>
    <n v="633018"/>
    <n v="1092831"/>
    <n v="1328222"/>
    <n v="2421053"/>
    <n v="-1788035"/>
    <n v="-2.8246195210878682"/>
    <n v="88"/>
    <s v="No"/>
    <n v="4.5999999999999996"/>
    <s v="Excellent"/>
  </r>
  <r>
    <s v="6E1221"/>
    <d v="2025-08-25T00:00:00"/>
    <x v="0"/>
    <x v="9"/>
    <x v="6"/>
    <x v="6"/>
    <x v="1"/>
    <n v="173"/>
    <n v="180"/>
    <n v="7"/>
    <n v="96.11"/>
    <x v="1"/>
    <n v="1311164"/>
    <n v="124657"/>
    <n v="1435821"/>
    <n v="428215"/>
    <n v="667806"/>
    <n v="1096021"/>
    <n v="339800"/>
    <n v="0.23665902643853237"/>
    <n v="27"/>
    <s v="No"/>
    <n v="4.5999999999999996"/>
    <s v="Excellent"/>
  </r>
  <r>
    <s v="6E1222"/>
    <d v="2025-09-20T00:00:00"/>
    <x v="0"/>
    <x v="5"/>
    <x v="1"/>
    <x v="1"/>
    <x v="2"/>
    <n v="166"/>
    <n v="232"/>
    <n v="66"/>
    <n v="71.55"/>
    <x v="0"/>
    <n v="1217651"/>
    <n v="123818"/>
    <n v="1341469"/>
    <n v="908268"/>
    <n v="1189655"/>
    <n v="2097923"/>
    <n v="-756454"/>
    <n v="-0.56389972485387285"/>
    <n v="5"/>
    <s v="Yes"/>
    <n v="4.5"/>
    <s v="Excellent"/>
  </r>
  <r>
    <s v="6E1223"/>
    <d v="2025-11-02T00:00:00"/>
    <x v="0"/>
    <x v="8"/>
    <x v="0"/>
    <x v="0"/>
    <x v="0"/>
    <n v="76"/>
    <n v="78"/>
    <n v="2"/>
    <n v="97.44"/>
    <x v="1"/>
    <n v="373631"/>
    <n v="63074"/>
    <n v="436705"/>
    <n v="846552"/>
    <n v="1521108"/>
    <n v="2367660"/>
    <n v="-1930955"/>
    <n v="-4.4216461913648804"/>
    <n v="4"/>
    <s v="Yes"/>
    <n v="4.0999999999999996"/>
    <s v="Excellent"/>
  </r>
  <r>
    <s v="6E1224"/>
    <d v="2025-09-04T00:00:00"/>
    <x v="0"/>
    <x v="5"/>
    <x v="8"/>
    <x v="8"/>
    <x v="0"/>
    <n v="57"/>
    <n v="78"/>
    <n v="21"/>
    <n v="73.08"/>
    <x v="0"/>
    <n v="435495"/>
    <n v="18103"/>
    <n v="453598"/>
    <n v="1062708"/>
    <n v="1406105"/>
    <n v="2468813"/>
    <n v="-2015215"/>
    <n v="-4.4427334335689315"/>
    <n v="45"/>
    <s v="No"/>
    <n v="3.3"/>
    <s v="Good"/>
  </r>
  <r>
    <s v="6E1225"/>
    <d v="2025-08-02T00:00:00"/>
    <x v="0"/>
    <x v="9"/>
    <x v="5"/>
    <x v="5"/>
    <x v="0"/>
    <n v="63"/>
    <n v="78"/>
    <n v="15"/>
    <n v="80.77"/>
    <x v="0"/>
    <n v="506553"/>
    <n v="72143"/>
    <n v="578696"/>
    <n v="348255"/>
    <n v="815410"/>
    <n v="1163665"/>
    <n v="-584969"/>
    <n v="-1.0108398883005931"/>
    <n v="6"/>
    <s v="Yes"/>
    <n v="4"/>
    <s v="Excellent"/>
  </r>
  <r>
    <s v="6E1226"/>
    <d v="2025-02-18T00:00:00"/>
    <x v="0"/>
    <x v="11"/>
    <x v="0"/>
    <x v="0"/>
    <x v="0"/>
    <n v="71"/>
    <n v="78"/>
    <n v="7"/>
    <n v="91.03"/>
    <x v="1"/>
    <n v="599343"/>
    <n v="91790"/>
    <n v="691133"/>
    <n v="697034"/>
    <n v="1351061"/>
    <n v="2048095"/>
    <n v="-1356962"/>
    <n v="-1.963387654763989"/>
    <n v="51"/>
    <s v="No"/>
    <n v="4.0999999999999996"/>
    <s v="Excellent"/>
  </r>
  <r>
    <s v="6E1227"/>
    <d v="2025-02-24T00:00:00"/>
    <x v="0"/>
    <x v="11"/>
    <x v="7"/>
    <x v="7"/>
    <x v="1"/>
    <n v="147"/>
    <n v="180"/>
    <n v="33"/>
    <n v="81.67"/>
    <x v="0"/>
    <n v="1320405"/>
    <n v="92538"/>
    <n v="1412943"/>
    <n v="908113"/>
    <n v="1225730"/>
    <n v="2133843"/>
    <n v="-720900"/>
    <n v="-0.510211664589442"/>
    <n v="89"/>
    <s v="No"/>
    <n v="4.8"/>
    <s v="Excellent"/>
  </r>
  <r>
    <s v="6E1228"/>
    <d v="2025-07-08T00:00:00"/>
    <x v="0"/>
    <x v="2"/>
    <x v="3"/>
    <x v="3"/>
    <x v="2"/>
    <n v="143"/>
    <n v="232"/>
    <n v="89"/>
    <n v="61.64"/>
    <x v="0"/>
    <n v="1007456"/>
    <n v="114108"/>
    <n v="1121564"/>
    <n v="901827"/>
    <n v="1352087"/>
    <n v="2253914"/>
    <n v="-1132350"/>
    <n v="-1.0096169277901217"/>
    <n v="2"/>
    <s v="Yes"/>
    <n v="3.8"/>
    <s v="Good"/>
  </r>
  <r>
    <s v="6E1229"/>
    <d v="2025-02-14T00:00:00"/>
    <x v="0"/>
    <x v="11"/>
    <x v="2"/>
    <x v="2"/>
    <x v="2"/>
    <n v="151"/>
    <n v="232"/>
    <n v="81"/>
    <n v="65.09"/>
    <x v="0"/>
    <n v="1281600"/>
    <n v="117962"/>
    <n v="1399562"/>
    <n v="332847"/>
    <n v="723871"/>
    <n v="1056718"/>
    <n v="342844"/>
    <n v="0.24496521054444176"/>
    <n v="3"/>
    <s v="Yes"/>
    <n v="3.9"/>
    <s v="Good"/>
  </r>
  <r>
    <s v="6E1230"/>
    <d v="2025-05-12T00:00:00"/>
    <x v="0"/>
    <x v="0"/>
    <x v="3"/>
    <x v="3"/>
    <x v="1"/>
    <n v="163"/>
    <n v="180"/>
    <n v="17"/>
    <n v="90.56"/>
    <x v="1"/>
    <n v="1182532"/>
    <n v="138360"/>
    <n v="1320892"/>
    <n v="350500"/>
    <n v="1002167"/>
    <n v="1352667"/>
    <n v="-31775"/>
    <n v="-2.4055713866084433E-2"/>
    <n v="76"/>
    <s v="No"/>
    <n v="3.5"/>
    <s v="Good"/>
  </r>
  <r>
    <s v="6E1231"/>
    <d v="2025-05-22T00:00:00"/>
    <x v="0"/>
    <x v="0"/>
    <x v="0"/>
    <x v="0"/>
    <x v="0"/>
    <n v="66"/>
    <n v="78"/>
    <n v="12"/>
    <n v="84.62"/>
    <x v="0"/>
    <n v="344064"/>
    <n v="134722"/>
    <n v="478786"/>
    <n v="326058"/>
    <n v="879984"/>
    <n v="1206042"/>
    <n v="-727256"/>
    <n v="-1.5189583655328267"/>
    <n v="72"/>
    <s v="No"/>
    <n v="3.8"/>
    <s v="Good"/>
  </r>
  <r>
    <s v="6E1232"/>
    <d v="2025-10-19T00:00:00"/>
    <x v="0"/>
    <x v="7"/>
    <x v="7"/>
    <x v="7"/>
    <x v="0"/>
    <n v="75"/>
    <n v="78"/>
    <n v="3"/>
    <n v="96.15"/>
    <x v="1"/>
    <n v="645464"/>
    <n v="42165"/>
    <n v="687629"/>
    <n v="904724"/>
    <n v="1295850"/>
    <n v="2200574"/>
    <n v="-1512945"/>
    <n v="-2.2002344287399165"/>
    <n v="7"/>
    <s v="Yes"/>
    <n v="4.0999999999999996"/>
    <s v="Excellent"/>
  </r>
  <r>
    <s v="6E1233"/>
    <d v="2025-10-22T00:00:00"/>
    <x v="0"/>
    <x v="7"/>
    <x v="1"/>
    <x v="1"/>
    <x v="0"/>
    <n v="52"/>
    <n v="78"/>
    <n v="26"/>
    <n v="66.67"/>
    <x v="0"/>
    <n v="319314"/>
    <n v="145115"/>
    <n v="464429"/>
    <n v="631949"/>
    <n v="1166087"/>
    <n v="1798036"/>
    <n v="-1333607"/>
    <n v="-2.8714981191958295"/>
    <n v="44"/>
    <s v="No"/>
    <n v="4.0999999999999996"/>
    <s v="Excellent"/>
  </r>
  <r>
    <s v="6E1234"/>
    <d v="2025-10-23T00:00:00"/>
    <x v="0"/>
    <x v="7"/>
    <x v="8"/>
    <x v="8"/>
    <x v="2"/>
    <n v="139"/>
    <n v="232"/>
    <n v="93"/>
    <n v="59.91"/>
    <x v="2"/>
    <n v="589971"/>
    <n v="149017"/>
    <n v="738988"/>
    <n v="450205"/>
    <n v="1126795"/>
    <n v="1577000"/>
    <n v="-838012"/>
    <n v="-1.133999469544837"/>
    <n v="51"/>
    <s v="No"/>
    <n v="3.2"/>
    <s v="Good"/>
  </r>
  <r>
    <s v="6E1235"/>
    <d v="2025-01-10T00:00:00"/>
    <x v="0"/>
    <x v="10"/>
    <x v="5"/>
    <x v="5"/>
    <x v="2"/>
    <n v="167"/>
    <n v="232"/>
    <n v="65"/>
    <n v="71.98"/>
    <x v="0"/>
    <n v="996403"/>
    <n v="87276"/>
    <n v="1083679"/>
    <n v="1060329"/>
    <n v="1257741"/>
    <n v="2318070"/>
    <n v="-1234391"/>
    <n v="-1.1390743938011163"/>
    <n v="88"/>
    <s v="No"/>
    <n v="4.7"/>
    <s v="Excellent"/>
  </r>
  <r>
    <s v="6E1236"/>
    <d v="2025-04-17T00:00:00"/>
    <x v="0"/>
    <x v="6"/>
    <x v="3"/>
    <x v="3"/>
    <x v="1"/>
    <n v="145"/>
    <n v="180"/>
    <n v="35"/>
    <n v="80.56"/>
    <x v="0"/>
    <n v="1229573"/>
    <n v="107739"/>
    <n v="1337312"/>
    <n v="1004016"/>
    <n v="1589588"/>
    <n v="2593604"/>
    <n v="-1256292"/>
    <n v="-0.93941578330262498"/>
    <n v="5"/>
    <s v="Yes"/>
    <n v="4.0999999999999996"/>
    <s v="Excellent"/>
  </r>
  <r>
    <s v="6E1237"/>
    <d v="2025-02-05T00:00:00"/>
    <x v="0"/>
    <x v="11"/>
    <x v="4"/>
    <x v="4"/>
    <x v="1"/>
    <n v="120"/>
    <n v="180"/>
    <n v="60"/>
    <n v="66.67"/>
    <x v="0"/>
    <n v="665414"/>
    <n v="93021"/>
    <n v="758435"/>
    <n v="1054501"/>
    <n v="1714415"/>
    <n v="2768916"/>
    <n v="-2010481"/>
    <n v="-2.65082835048488"/>
    <n v="72"/>
    <s v="No"/>
    <n v="4.4000000000000004"/>
    <s v="Excellent"/>
  </r>
  <r>
    <s v="6E1238"/>
    <d v="2025-07-28T00:00:00"/>
    <x v="0"/>
    <x v="2"/>
    <x v="5"/>
    <x v="5"/>
    <x v="1"/>
    <n v="122"/>
    <n v="180"/>
    <n v="58"/>
    <n v="67.78"/>
    <x v="0"/>
    <n v="967037"/>
    <n v="82065"/>
    <n v="1049102"/>
    <n v="556408"/>
    <n v="760252"/>
    <n v="1316660"/>
    <n v="-267558"/>
    <n v="-0.25503525872603428"/>
    <n v="41"/>
    <s v="No"/>
    <n v="4.4000000000000004"/>
    <s v="Excellent"/>
  </r>
  <r>
    <s v="6E1239"/>
    <d v="2025-01-14T00:00:00"/>
    <x v="0"/>
    <x v="10"/>
    <x v="1"/>
    <x v="1"/>
    <x v="0"/>
    <n v="67"/>
    <n v="78"/>
    <n v="11"/>
    <n v="85.9"/>
    <x v="1"/>
    <n v="325896"/>
    <n v="99465"/>
    <n v="425361"/>
    <n v="1001117"/>
    <n v="1688668"/>
    <n v="2689785"/>
    <n v="-2264424"/>
    <n v="-5.3235345976711548"/>
    <n v="75"/>
    <s v="No"/>
    <n v="4.3"/>
    <s v="Excellent"/>
  </r>
  <r>
    <s v="6E1240"/>
    <d v="2025-09-24T00:00:00"/>
    <x v="0"/>
    <x v="5"/>
    <x v="7"/>
    <x v="7"/>
    <x v="0"/>
    <n v="52"/>
    <n v="78"/>
    <n v="26"/>
    <n v="66.67"/>
    <x v="0"/>
    <n v="338551"/>
    <n v="78586"/>
    <n v="417137"/>
    <n v="602967"/>
    <n v="989725"/>
    <n v="1592692"/>
    <n v="-1175555"/>
    <n v="-2.8181508712964805"/>
    <n v="81"/>
    <s v="No"/>
    <n v="4.8"/>
    <s v="Excellent"/>
  </r>
  <r>
    <s v="6E1241"/>
    <d v="2025-07-24T00:00:00"/>
    <x v="0"/>
    <x v="2"/>
    <x v="5"/>
    <x v="5"/>
    <x v="0"/>
    <n v="62"/>
    <n v="78"/>
    <n v="16"/>
    <n v="79.489999999999995"/>
    <x v="0"/>
    <n v="488657"/>
    <n v="82871"/>
    <n v="571528"/>
    <n v="818709"/>
    <n v="1238336"/>
    <n v="2057045"/>
    <n v="-1485517"/>
    <n v="-2.5992024887669545"/>
    <n v="50"/>
    <s v="No"/>
    <n v="4.5"/>
    <s v="Excellent"/>
  </r>
  <r>
    <s v="6E1242"/>
    <d v="2025-12-13T00:00:00"/>
    <x v="0"/>
    <x v="3"/>
    <x v="0"/>
    <x v="0"/>
    <x v="2"/>
    <n v="179"/>
    <n v="232"/>
    <n v="53"/>
    <n v="77.16"/>
    <x v="0"/>
    <n v="1251121"/>
    <n v="128467"/>
    <n v="1379588"/>
    <n v="480826"/>
    <n v="1095157"/>
    <n v="1575983"/>
    <n v="-196395"/>
    <n v="-0.14235771839128783"/>
    <n v="72"/>
    <s v="No"/>
    <n v="3.5"/>
    <s v="Good"/>
  </r>
  <r>
    <s v="6E1243"/>
    <d v="2025-09-08T00:00:00"/>
    <x v="0"/>
    <x v="5"/>
    <x v="2"/>
    <x v="2"/>
    <x v="0"/>
    <n v="65"/>
    <n v="78"/>
    <n v="13"/>
    <n v="83.33"/>
    <x v="0"/>
    <n v="409387"/>
    <n v="19628"/>
    <n v="429015"/>
    <n v="720045"/>
    <n v="986026"/>
    <n v="1706071"/>
    <n v="-1277056"/>
    <n v="-2.976716431826393"/>
    <n v="47"/>
    <s v="No"/>
    <n v="4.5"/>
    <s v="Excellent"/>
  </r>
  <r>
    <s v="6E1244"/>
    <d v="2025-11-18T00:00:00"/>
    <x v="0"/>
    <x v="8"/>
    <x v="5"/>
    <x v="5"/>
    <x v="2"/>
    <n v="181"/>
    <n v="232"/>
    <n v="51"/>
    <n v="78.02"/>
    <x v="0"/>
    <n v="813802"/>
    <n v="51819"/>
    <n v="865621"/>
    <n v="637439"/>
    <n v="1216531"/>
    <n v="1853970"/>
    <n v="-988349"/>
    <n v="-1.1417802941472077"/>
    <n v="47"/>
    <s v="No"/>
    <n v="4.3"/>
    <s v="Excellent"/>
  </r>
  <r>
    <s v="6E1245"/>
    <d v="2025-10-01T00:00:00"/>
    <x v="0"/>
    <x v="7"/>
    <x v="2"/>
    <x v="2"/>
    <x v="0"/>
    <n v="72"/>
    <n v="78"/>
    <n v="6"/>
    <n v="92.31"/>
    <x v="1"/>
    <n v="588813"/>
    <n v="136347"/>
    <n v="725160"/>
    <n v="900159"/>
    <n v="1296737"/>
    <n v="2196896"/>
    <n v="-1471736"/>
    <n v="-2.0295327927629763"/>
    <n v="0"/>
    <s v="Yes"/>
    <n v="3.8"/>
    <s v="Good"/>
  </r>
  <r>
    <s v="6E1246"/>
    <d v="2025-08-26T00:00:00"/>
    <x v="0"/>
    <x v="9"/>
    <x v="1"/>
    <x v="1"/>
    <x v="0"/>
    <n v="69"/>
    <n v="78"/>
    <n v="9"/>
    <n v="88.46"/>
    <x v="1"/>
    <n v="324469"/>
    <n v="149735"/>
    <n v="474204"/>
    <n v="303403"/>
    <n v="468548"/>
    <n v="771951"/>
    <n v="-297747"/>
    <n v="-0.62788799757066582"/>
    <n v="30"/>
    <s v="No"/>
    <n v="3.5"/>
    <s v="Good"/>
  </r>
  <r>
    <s v="6E1247"/>
    <d v="2025-02-13T00:00:00"/>
    <x v="0"/>
    <x v="11"/>
    <x v="7"/>
    <x v="7"/>
    <x v="2"/>
    <n v="198"/>
    <n v="232"/>
    <n v="34"/>
    <n v="85.34"/>
    <x v="1"/>
    <n v="1568965"/>
    <n v="146514"/>
    <n v="1715479"/>
    <n v="746880"/>
    <n v="1421521"/>
    <n v="2168401"/>
    <n v="-452922"/>
    <n v="-0.26402071957744744"/>
    <n v="32"/>
    <s v="No"/>
    <n v="4"/>
    <s v="Excellent"/>
  </r>
  <r>
    <s v="6E1248"/>
    <d v="2025-07-27T00:00:00"/>
    <x v="0"/>
    <x v="2"/>
    <x v="9"/>
    <x v="9"/>
    <x v="1"/>
    <n v="156"/>
    <n v="180"/>
    <n v="24"/>
    <n v="86.67"/>
    <x v="1"/>
    <n v="1057191"/>
    <n v="21501"/>
    <n v="1078692"/>
    <n v="558525"/>
    <n v="1053911"/>
    <n v="1612436"/>
    <n v="-533744"/>
    <n v="-0.49480667326725331"/>
    <n v="48"/>
    <s v="No"/>
    <n v="3.7"/>
    <s v="Good"/>
  </r>
  <r>
    <s v="6E1249"/>
    <d v="2025-10-01T00:00:00"/>
    <x v="0"/>
    <x v="7"/>
    <x v="7"/>
    <x v="7"/>
    <x v="2"/>
    <n v="162"/>
    <n v="232"/>
    <n v="70"/>
    <n v="69.83"/>
    <x v="0"/>
    <n v="1332064"/>
    <n v="66467"/>
    <n v="1398531"/>
    <n v="1071424"/>
    <n v="1621827"/>
    <n v="2693251"/>
    <n v="-1294720"/>
    <n v="-0.92577139870335379"/>
    <n v="40"/>
    <s v="No"/>
    <n v="4.4000000000000004"/>
    <s v="Excellent"/>
  </r>
  <r>
    <s v="6E1250"/>
    <d v="2025-01-29T00:00:00"/>
    <x v="0"/>
    <x v="10"/>
    <x v="3"/>
    <x v="3"/>
    <x v="2"/>
    <n v="155"/>
    <n v="232"/>
    <n v="77"/>
    <n v="66.81"/>
    <x v="0"/>
    <n v="1049176"/>
    <n v="46337"/>
    <n v="1095513"/>
    <n v="306520"/>
    <n v="643512"/>
    <n v="950032"/>
    <n v="145481"/>
    <n v="0.13279714617717908"/>
    <n v="55"/>
    <s v="No"/>
    <n v="3.3"/>
    <s v="Good"/>
  </r>
  <r>
    <s v="6E1251"/>
    <d v="2025-07-01T00:00:00"/>
    <x v="0"/>
    <x v="2"/>
    <x v="1"/>
    <x v="1"/>
    <x v="1"/>
    <n v="173"/>
    <n v="180"/>
    <n v="7"/>
    <n v="96.11"/>
    <x v="1"/>
    <n v="1382241"/>
    <n v="128409"/>
    <n v="1510650"/>
    <n v="947505"/>
    <n v="1381437"/>
    <n v="2328942"/>
    <n v="-818292"/>
    <n v="-0.54168205739251318"/>
    <n v="67"/>
    <s v="No"/>
    <n v="4.2"/>
    <s v="Excellent"/>
  </r>
  <r>
    <s v="6E1252"/>
    <d v="2025-01-30T00:00:00"/>
    <x v="0"/>
    <x v="10"/>
    <x v="5"/>
    <x v="5"/>
    <x v="0"/>
    <n v="73"/>
    <n v="78"/>
    <n v="5"/>
    <n v="93.59"/>
    <x v="1"/>
    <n v="534790"/>
    <n v="64804"/>
    <n v="599594"/>
    <n v="529133"/>
    <n v="873298"/>
    <n v="1402431"/>
    <n v="-802837"/>
    <n v="-1.3389677014780001"/>
    <n v="3"/>
    <s v="Yes"/>
    <n v="4.3"/>
    <s v="Excellent"/>
  </r>
  <r>
    <s v="6E1253"/>
    <d v="2025-04-19T00:00:00"/>
    <x v="0"/>
    <x v="6"/>
    <x v="3"/>
    <x v="3"/>
    <x v="2"/>
    <n v="178"/>
    <n v="232"/>
    <n v="54"/>
    <n v="76.72"/>
    <x v="0"/>
    <n v="1155460"/>
    <n v="26375"/>
    <n v="1181835"/>
    <n v="362562"/>
    <n v="769174"/>
    <n v="1131736"/>
    <n v="50099"/>
    <n v="4.2390858283939806E-2"/>
    <n v="41"/>
    <s v="No"/>
    <n v="4.4000000000000004"/>
    <s v="Excellent"/>
  </r>
  <r>
    <s v="6E1254"/>
    <d v="2025-08-20T00:00:00"/>
    <x v="0"/>
    <x v="9"/>
    <x v="5"/>
    <x v="5"/>
    <x v="1"/>
    <n v="118"/>
    <n v="180"/>
    <n v="62"/>
    <n v="65.56"/>
    <x v="0"/>
    <n v="885870"/>
    <n v="80546"/>
    <n v="966416"/>
    <n v="654042"/>
    <n v="1142911"/>
    <n v="1796953"/>
    <n v="-830537"/>
    <n v="-0.85939905796261651"/>
    <n v="58"/>
    <s v="No"/>
    <n v="4.5"/>
    <s v="Excellent"/>
  </r>
  <r>
    <s v="6E1255"/>
    <d v="2025-05-18T00:00:00"/>
    <x v="0"/>
    <x v="0"/>
    <x v="8"/>
    <x v="8"/>
    <x v="2"/>
    <n v="149"/>
    <n v="232"/>
    <n v="83"/>
    <n v="64.22"/>
    <x v="0"/>
    <n v="1201663"/>
    <n v="118440"/>
    <n v="1320103"/>
    <n v="666084"/>
    <n v="878629"/>
    <n v="1544713"/>
    <n v="-224610"/>
    <n v="-0.17014581437963552"/>
    <n v="88"/>
    <s v="No"/>
    <n v="3.3"/>
    <s v="Good"/>
  </r>
  <r>
    <s v="6E1256"/>
    <d v="2025-09-04T00:00:00"/>
    <x v="0"/>
    <x v="5"/>
    <x v="2"/>
    <x v="2"/>
    <x v="1"/>
    <n v="159"/>
    <n v="180"/>
    <n v="21"/>
    <n v="88.33"/>
    <x v="1"/>
    <n v="1241756"/>
    <n v="105745"/>
    <n v="1347501"/>
    <n v="813635"/>
    <n v="1049487"/>
    <n v="1863122"/>
    <n v="-515621"/>
    <n v="-0.38264980879420496"/>
    <n v="85"/>
    <s v="No"/>
    <n v="4.5"/>
    <s v="Excellent"/>
  </r>
  <r>
    <s v="6E1257"/>
    <d v="2025-11-13T00:00:00"/>
    <x v="0"/>
    <x v="8"/>
    <x v="5"/>
    <x v="5"/>
    <x v="2"/>
    <n v="221"/>
    <n v="232"/>
    <n v="11"/>
    <n v="95.26"/>
    <x v="1"/>
    <n v="1324525"/>
    <n v="47232"/>
    <n v="1371757"/>
    <n v="1044060"/>
    <n v="1640058"/>
    <n v="2684118"/>
    <n v="-1312361"/>
    <n v="-0.95670078592637031"/>
    <n v="55"/>
    <s v="No"/>
    <n v="4"/>
    <s v="Excellent"/>
  </r>
  <r>
    <s v="6E1258"/>
    <d v="2025-10-04T00:00:00"/>
    <x v="0"/>
    <x v="7"/>
    <x v="6"/>
    <x v="6"/>
    <x v="1"/>
    <n v="116"/>
    <n v="180"/>
    <n v="64"/>
    <n v="64.44"/>
    <x v="0"/>
    <n v="804576"/>
    <n v="77762"/>
    <n v="882338"/>
    <n v="288476"/>
    <n v="965776"/>
    <n v="1254252"/>
    <n v="-371914"/>
    <n v="-0.42150967089709385"/>
    <n v="7"/>
    <s v="Yes"/>
    <n v="3.5"/>
    <s v="Good"/>
  </r>
  <r>
    <s v="6E1259"/>
    <d v="2025-05-27T00:00:00"/>
    <x v="0"/>
    <x v="0"/>
    <x v="8"/>
    <x v="8"/>
    <x v="0"/>
    <n v="47"/>
    <n v="78"/>
    <n v="31"/>
    <n v="60.26"/>
    <x v="0"/>
    <n v="311300"/>
    <n v="61731"/>
    <n v="373031"/>
    <n v="843997"/>
    <n v="1291607"/>
    <n v="2135604"/>
    <n v="-1762573"/>
    <n v="-4.7250040881320858"/>
    <n v="69"/>
    <s v="No"/>
    <n v="4.5"/>
    <s v="Excellent"/>
  </r>
  <r>
    <s v="6E1260"/>
    <d v="2025-07-28T00:00:00"/>
    <x v="0"/>
    <x v="2"/>
    <x v="2"/>
    <x v="2"/>
    <x v="2"/>
    <n v="173"/>
    <n v="232"/>
    <n v="59"/>
    <n v="74.569999999999993"/>
    <x v="0"/>
    <n v="1394145"/>
    <n v="107770"/>
    <n v="1501915"/>
    <n v="551857"/>
    <n v="832083"/>
    <n v="1383940"/>
    <n v="117975"/>
    <n v="7.8549718193106799E-2"/>
    <n v="46"/>
    <s v="No"/>
    <n v="4.5"/>
    <s v="Excellent"/>
  </r>
  <r>
    <s v="6E1261"/>
    <d v="2025-03-11T00:00:00"/>
    <x v="0"/>
    <x v="4"/>
    <x v="6"/>
    <x v="6"/>
    <x v="0"/>
    <n v="69"/>
    <n v="78"/>
    <n v="9"/>
    <n v="88.46"/>
    <x v="1"/>
    <n v="505599"/>
    <n v="137953"/>
    <n v="643552"/>
    <n v="327713"/>
    <n v="695011"/>
    <n v="1022724"/>
    <n v="-379172"/>
    <n v="-0.58918626622246528"/>
    <n v="58"/>
    <s v="No"/>
    <n v="3.3"/>
    <s v="Good"/>
  </r>
  <r>
    <s v="6E1262"/>
    <d v="2025-09-29T00:00:00"/>
    <x v="0"/>
    <x v="5"/>
    <x v="0"/>
    <x v="0"/>
    <x v="0"/>
    <n v="76"/>
    <n v="78"/>
    <n v="2"/>
    <n v="97.44"/>
    <x v="1"/>
    <n v="349472"/>
    <n v="25879"/>
    <n v="375351"/>
    <n v="915770"/>
    <n v="1533156"/>
    <n v="2448926"/>
    <n v="-2073575"/>
    <n v="-5.5243625300052486"/>
    <n v="67"/>
    <s v="No"/>
    <n v="3.7"/>
    <s v="Good"/>
  </r>
  <r>
    <s v="6E1263"/>
    <d v="2025-08-02T00:00:00"/>
    <x v="0"/>
    <x v="9"/>
    <x v="9"/>
    <x v="9"/>
    <x v="2"/>
    <n v="142"/>
    <n v="232"/>
    <n v="90"/>
    <n v="61.21"/>
    <x v="0"/>
    <n v="1259055"/>
    <n v="40817"/>
    <n v="1299872"/>
    <n v="824078"/>
    <n v="926613"/>
    <n v="1750691"/>
    <n v="-450819"/>
    <n v="-0.34681799438713967"/>
    <n v="17"/>
    <s v="No"/>
    <n v="3.3"/>
    <s v="Good"/>
  </r>
  <r>
    <s v="6E1264"/>
    <d v="2025-06-20T00:00:00"/>
    <x v="0"/>
    <x v="1"/>
    <x v="7"/>
    <x v="7"/>
    <x v="0"/>
    <n v="58"/>
    <n v="78"/>
    <n v="20"/>
    <n v="74.36"/>
    <x v="0"/>
    <n v="332816"/>
    <n v="16309"/>
    <n v="349125"/>
    <n v="603828"/>
    <n v="1131237"/>
    <n v="1735065"/>
    <n v="-1385940"/>
    <n v="-3.9697529538131042"/>
    <n v="84"/>
    <s v="No"/>
    <n v="3.5"/>
    <s v="Good"/>
  </r>
  <r>
    <s v="6E1265"/>
    <d v="2025-08-30T00:00:00"/>
    <x v="0"/>
    <x v="9"/>
    <x v="7"/>
    <x v="7"/>
    <x v="0"/>
    <n v="70"/>
    <n v="78"/>
    <n v="8"/>
    <n v="89.74"/>
    <x v="1"/>
    <n v="628029"/>
    <n v="94779"/>
    <n v="722808"/>
    <n v="463260"/>
    <n v="1115340"/>
    <n v="1578600"/>
    <n v="-855792"/>
    <n v="-1.183982468373344"/>
    <n v="89"/>
    <s v="No"/>
    <n v="4.3"/>
    <s v="Excellent"/>
  </r>
  <r>
    <s v="6E1266"/>
    <d v="2025-05-09T00:00:00"/>
    <x v="0"/>
    <x v="0"/>
    <x v="4"/>
    <x v="4"/>
    <x v="2"/>
    <n v="182"/>
    <n v="232"/>
    <n v="50"/>
    <n v="78.45"/>
    <x v="0"/>
    <n v="1178080"/>
    <n v="147752"/>
    <n v="1325832"/>
    <n v="1187805"/>
    <n v="1559283"/>
    <n v="2747088"/>
    <n v="-1421256"/>
    <n v="-1.071972919645928"/>
    <n v="29"/>
    <s v="No"/>
    <n v="3.7"/>
    <s v="Good"/>
  </r>
  <r>
    <s v="6E1267"/>
    <d v="2025-04-24T00:00:00"/>
    <x v="0"/>
    <x v="6"/>
    <x v="0"/>
    <x v="0"/>
    <x v="2"/>
    <n v="151"/>
    <n v="232"/>
    <n v="81"/>
    <n v="65.09"/>
    <x v="0"/>
    <n v="1268041"/>
    <n v="51866"/>
    <n v="1319907"/>
    <n v="874616"/>
    <n v="1390461"/>
    <n v="2265077"/>
    <n v="-945170"/>
    <n v="-0.71608833046570708"/>
    <n v="85"/>
    <s v="No"/>
    <n v="4.5"/>
    <s v="Excellent"/>
  </r>
  <r>
    <s v="6E1268"/>
    <d v="2025-01-22T00:00:00"/>
    <x v="0"/>
    <x v="10"/>
    <x v="5"/>
    <x v="5"/>
    <x v="2"/>
    <n v="167"/>
    <n v="232"/>
    <n v="65"/>
    <n v="71.98"/>
    <x v="0"/>
    <n v="1197189"/>
    <n v="38876"/>
    <n v="1236065"/>
    <n v="417509"/>
    <n v="840536"/>
    <n v="1258045"/>
    <n v="-21980"/>
    <n v="-1.7782236371064627E-2"/>
    <n v="43"/>
    <s v="No"/>
    <n v="3.5"/>
    <s v="Good"/>
  </r>
  <r>
    <s v="6E1269"/>
    <d v="2025-01-25T00:00:00"/>
    <x v="0"/>
    <x v="10"/>
    <x v="7"/>
    <x v="7"/>
    <x v="0"/>
    <n v="67"/>
    <n v="78"/>
    <n v="11"/>
    <n v="85.9"/>
    <x v="1"/>
    <n v="240651"/>
    <n v="144865"/>
    <n v="385516"/>
    <n v="671914"/>
    <n v="839483"/>
    <n v="1511397"/>
    <n v="-1125881"/>
    <n v="-2.9204520694342126"/>
    <n v="66"/>
    <s v="No"/>
    <n v="3.5"/>
    <s v="Good"/>
  </r>
  <r>
    <s v="6E1270"/>
    <d v="2025-07-13T00:00:00"/>
    <x v="0"/>
    <x v="2"/>
    <x v="8"/>
    <x v="8"/>
    <x v="2"/>
    <n v="163"/>
    <n v="232"/>
    <n v="69"/>
    <n v="70.260000000000005"/>
    <x v="0"/>
    <n v="733071"/>
    <n v="112380"/>
    <n v="845451"/>
    <n v="642384"/>
    <n v="933289"/>
    <n v="1575673"/>
    <n v="-730222"/>
    <n v="-0.86370706285757537"/>
    <n v="66"/>
    <s v="No"/>
    <n v="4"/>
    <s v="Excellent"/>
  </r>
  <r>
    <s v="6E1271"/>
    <d v="2025-05-07T00:00:00"/>
    <x v="0"/>
    <x v="0"/>
    <x v="7"/>
    <x v="7"/>
    <x v="1"/>
    <n v="156"/>
    <n v="180"/>
    <n v="24"/>
    <n v="86.67"/>
    <x v="1"/>
    <n v="975709"/>
    <n v="54438"/>
    <n v="1030147"/>
    <n v="1080782"/>
    <n v="1646677"/>
    <n v="2727459"/>
    <n v="-1697312"/>
    <n v="-1.6476405794512823"/>
    <n v="4"/>
    <s v="Yes"/>
    <n v="3.9"/>
    <s v="Good"/>
  </r>
  <r>
    <s v="6E1272"/>
    <d v="2025-05-05T00:00:00"/>
    <x v="0"/>
    <x v="0"/>
    <x v="1"/>
    <x v="1"/>
    <x v="0"/>
    <n v="65"/>
    <n v="78"/>
    <n v="13"/>
    <n v="83.33"/>
    <x v="0"/>
    <n v="444433"/>
    <n v="88479"/>
    <n v="532912"/>
    <n v="281253"/>
    <n v="734016"/>
    <n v="1015269"/>
    <n v="-482357"/>
    <n v="-0.90513443120064851"/>
    <n v="60"/>
    <s v="No"/>
    <n v="3.7"/>
    <s v="Good"/>
  </r>
  <r>
    <s v="6E1273"/>
    <d v="2025-06-21T00:00:00"/>
    <x v="0"/>
    <x v="1"/>
    <x v="4"/>
    <x v="4"/>
    <x v="0"/>
    <n v="74"/>
    <n v="78"/>
    <n v="4"/>
    <n v="94.87"/>
    <x v="1"/>
    <n v="270257"/>
    <n v="41905"/>
    <n v="312162"/>
    <n v="991750"/>
    <n v="1111934"/>
    <n v="2103684"/>
    <n v="-1791522"/>
    <n v="-5.7390777865339153"/>
    <n v="86"/>
    <s v="No"/>
    <n v="4"/>
    <s v="Excellent"/>
  </r>
  <r>
    <s v="6E1274"/>
    <d v="2025-04-23T00:00:00"/>
    <x v="0"/>
    <x v="6"/>
    <x v="6"/>
    <x v="6"/>
    <x v="0"/>
    <n v="63"/>
    <n v="78"/>
    <n v="15"/>
    <n v="80.77"/>
    <x v="0"/>
    <n v="233175"/>
    <n v="81023"/>
    <n v="314198"/>
    <n v="899195"/>
    <n v="1131866"/>
    <n v="2031061"/>
    <n v="-1716863"/>
    <n v="-5.4642709374343568"/>
    <n v="66"/>
    <s v="No"/>
    <n v="3.6"/>
    <s v="Good"/>
  </r>
  <r>
    <s v="6E1275"/>
    <d v="2025-06-20T00:00:00"/>
    <x v="0"/>
    <x v="1"/>
    <x v="9"/>
    <x v="9"/>
    <x v="1"/>
    <n v="139"/>
    <n v="180"/>
    <n v="41"/>
    <n v="77.22"/>
    <x v="0"/>
    <n v="1239961"/>
    <n v="22175"/>
    <n v="1262136"/>
    <n v="695288"/>
    <n v="1295859"/>
    <n v="1991147"/>
    <n v="-729011"/>
    <n v="-0.57760098753224687"/>
    <n v="74"/>
    <s v="No"/>
    <n v="4.4000000000000004"/>
    <s v="Excellent"/>
  </r>
  <r>
    <s v="6E1276"/>
    <d v="2025-07-19T00:00:00"/>
    <x v="0"/>
    <x v="2"/>
    <x v="3"/>
    <x v="3"/>
    <x v="1"/>
    <n v="167"/>
    <n v="180"/>
    <n v="13"/>
    <n v="92.78"/>
    <x v="1"/>
    <n v="957975"/>
    <n v="23069"/>
    <n v="981044"/>
    <n v="1149259"/>
    <n v="1682100"/>
    <n v="2831359"/>
    <n v="-1850315"/>
    <n v="-1.8860672915791747"/>
    <n v="2"/>
    <s v="Yes"/>
    <n v="3.6"/>
    <s v="Good"/>
  </r>
  <r>
    <s v="6E1277"/>
    <d v="2025-06-20T00:00:00"/>
    <x v="0"/>
    <x v="1"/>
    <x v="3"/>
    <x v="3"/>
    <x v="0"/>
    <n v="46"/>
    <n v="78"/>
    <n v="32"/>
    <n v="58.97"/>
    <x v="2"/>
    <n v="176731"/>
    <n v="127561"/>
    <n v="304292"/>
    <n v="681705"/>
    <n v="969969"/>
    <n v="1651674"/>
    <n v="-1347382"/>
    <n v="-4.4279244935785362"/>
    <n v="22"/>
    <s v="No"/>
    <n v="4.5"/>
    <s v="Excellent"/>
  </r>
  <r>
    <s v="6E1278"/>
    <d v="2025-03-27T00:00:00"/>
    <x v="0"/>
    <x v="4"/>
    <x v="2"/>
    <x v="2"/>
    <x v="2"/>
    <n v="178"/>
    <n v="232"/>
    <n v="54"/>
    <n v="76.72"/>
    <x v="0"/>
    <n v="806899"/>
    <n v="33844"/>
    <n v="840743"/>
    <n v="1053970"/>
    <n v="1711584"/>
    <n v="2765554"/>
    <n v="-1924811"/>
    <n v="-2.2894166231535675"/>
    <n v="57"/>
    <s v="No"/>
    <n v="3.2"/>
    <s v="Good"/>
  </r>
  <r>
    <s v="6E1279"/>
    <d v="2025-07-26T00:00:00"/>
    <x v="0"/>
    <x v="2"/>
    <x v="4"/>
    <x v="4"/>
    <x v="2"/>
    <n v="172"/>
    <n v="232"/>
    <n v="60"/>
    <n v="74.14"/>
    <x v="0"/>
    <n v="1284317"/>
    <n v="110640"/>
    <n v="1394957"/>
    <n v="779475"/>
    <n v="1474516"/>
    <n v="2253991"/>
    <n v="-859034"/>
    <n v="-0.61581396415803502"/>
    <n v="28"/>
    <s v="No"/>
    <n v="3.7"/>
    <s v="Good"/>
  </r>
  <r>
    <s v="6E1280"/>
    <d v="2025-09-17T00:00:00"/>
    <x v="0"/>
    <x v="5"/>
    <x v="0"/>
    <x v="0"/>
    <x v="2"/>
    <n v="156"/>
    <n v="232"/>
    <n v="76"/>
    <n v="67.239999999999995"/>
    <x v="0"/>
    <n v="1230456"/>
    <n v="95310"/>
    <n v="1325766"/>
    <n v="590511"/>
    <n v="1258877"/>
    <n v="1849388"/>
    <n v="-523622"/>
    <n v="-0.39495808460919951"/>
    <n v="89"/>
    <s v="No"/>
    <n v="4"/>
    <s v="Excellent"/>
  </r>
  <r>
    <s v="6E1281"/>
    <d v="2025-04-17T00:00:00"/>
    <x v="0"/>
    <x v="6"/>
    <x v="0"/>
    <x v="0"/>
    <x v="2"/>
    <n v="166"/>
    <n v="232"/>
    <n v="66"/>
    <n v="71.55"/>
    <x v="0"/>
    <n v="1456576"/>
    <n v="63883"/>
    <n v="1520459"/>
    <n v="405263"/>
    <n v="986103"/>
    <n v="1391366"/>
    <n v="129093"/>
    <n v="8.4903966499589922E-2"/>
    <n v="31"/>
    <s v="No"/>
    <n v="4.4000000000000004"/>
    <s v="Excellent"/>
  </r>
  <r>
    <s v="6E1282"/>
    <d v="2025-07-17T00:00:00"/>
    <x v="0"/>
    <x v="2"/>
    <x v="8"/>
    <x v="8"/>
    <x v="1"/>
    <n v="118"/>
    <n v="180"/>
    <n v="62"/>
    <n v="65.56"/>
    <x v="0"/>
    <n v="813197"/>
    <n v="102896"/>
    <n v="916093"/>
    <n v="849381"/>
    <n v="1529084"/>
    <n v="2378465"/>
    <n v="-1462372"/>
    <n v="-1.5963139113605278"/>
    <n v="31"/>
    <s v="No"/>
    <n v="4.7"/>
    <s v="Excellent"/>
  </r>
  <r>
    <s v="6E1283"/>
    <d v="2025-02-17T00:00:00"/>
    <x v="0"/>
    <x v="11"/>
    <x v="5"/>
    <x v="5"/>
    <x v="1"/>
    <n v="110"/>
    <n v="180"/>
    <n v="70"/>
    <n v="61.11"/>
    <x v="0"/>
    <n v="859316"/>
    <n v="40106"/>
    <n v="899422"/>
    <n v="652551"/>
    <n v="1131374"/>
    <n v="1783925"/>
    <n v="-884503"/>
    <n v="-0.98341268058819997"/>
    <n v="52"/>
    <s v="No"/>
    <n v="3.4"/>
    <s v="Good"/>
  </r>
  <r>
    <s v="6E1284"/>
    <d v="2025-10-31T00:00:00"/>
    <x v="0"/>
    <x v="7"/>
    <x v="2"/>
    <x v="2"/>
    <x v="0"/>
    <n v="65"/>
    <n v="78"/>
    <n v="13"/>
    <n v="83.33"/>
    <x v="0"/>
    <n v="541884"/>
    <n v="81141"/>
    <n v="623025"/>
    <n v="338305"/>
    <n v="677184"/>
    <n v="1015489"/>
    <n v="-392464"/>
    <n v="-0.62993298824284738"/>
    <n v="18"/>
    <s v="No"/>
    <n v="3.2"/>
    <s v="Good"/>
  </r>
  <r>
    <s v="6E1285"/>
    <d v="2025-05-17T00:00:00"/>
    <x v="0"/>
    <x v="0"/>
    <x v="3"/>
    <x v="3"/>
    <x v="1"/>
    <n v="161"/>
    <n v="180"/>
    <n v="19"/>
    <n v="89.44"/>
    <x v="1"/>
    <n v="946318"/>
    <n v="34087"/>
    <n v="980405"/>
    <n v="406549"/>
    <n v="587342"/>
    <n v="993891"/>
    <n v="-13486"/>
    <n v="-1.3755539802428588E-2"/>
    <n v="73"/>
    <s v="No"/>
    <n v="4.7"/>
    <s v="Excellent"/>
  </r>
  <r>
    <s v="6E1286"/>
    <d v="2025-01-06T00:00:00"/>
    <x v="0"/>
    <x v="10"/>
    <x v="8"/>
    <x v="8"/>
    <x v="2"/>
    <n v="151"/>
    <n v="232"/>
    <n v="81"/>
    <n v="65.09"/>
    <x v="0"/>
    <n v="857332"/>
    <n v="115100"/>
    <n v="972432"/>
    <n v="817284"/>
    <n v="1351920"/>
    <n v="2169204"/>
    <n v="-1196772"/>
    <n v="-1.2306999358309887"/>
    <n v="63"/>
    <s v="No"/>
    <n v="3.3"/>
    <s v="Good"/>
  </r>
  <r>
    <s v="6E1287"/>
    <d v="2025-09-18T00:00:00"/>
    <x v="0"/>
    <x v="5"/>
    <x v="0"/>
    <x v="0"/>
    <x v="0"/>
    <n v="65"/>
    <n v="78"/>
    <n v="13"/>
    <n v="83.33"/>
    <x v="0"/>
    <n v="551863"/>
    <n v="127609"/>
    <n v="679472"/>
    <n v="876626"/>
    <n v="1225884"/>
    <n v="2102510"/>
    <n v="-1423038"/>
    <n v="-2.0943291261450065"/>
    <n v="46"/>
    <s v="No"/>
    <n v="3.8"/>
    <s v="Good"/>
  </r>
  <r>
    <s v="6E1288"/>
    <d v="2025-09-07T00:00:00"/>
    <x v="0"/>
    <x v="5"/>
    <x v="3"/>
    <x v="3"/>
    <x v="0"/>
    <n v="61"/>
    <n v="78"/>
    <n v="17"/>
    <n v="78.209999999999994"/>
    <x v="0"/>
    <n v="337402"/>
    <n v="38927"/>
    <n v="376329"/>
    <n v="954055"/>
    <n v="1579976"/>
    <n v="2534031"/>
    <n v="-2157702"/>
    <n v="-5.7335522906818239"/>
    <n v="53"/>
    <s v="No"/>
    <n v="3.6"/>
    <s v="Good"/>
  </r>
  <r>
    <s v="6E1289"/>
    <d v="2025-07-18T00:00:00"/>
    <x v="0"/>
    <x v="2"/>
    <x v="6"/>
    <x v="6"/>
    <x v="0"/>
    <n v="63"/>
    <n v="78"/>
    <n v="15"/>
    <n v="80.77"/>
    <x v="0"/>
    <n v="356860"/>
    <n v="103364"/>
    <n v="460224"/>
    <n v="1009762"/>
    <n v="1532171"/>
    <n v="2541933"/>
    <n v="-2081709"/>
    <n v="-4.5232517209011265"/>
    <n v="75"/>
    <s v="No"/>
    <n v="4"/>
    <s v="Excellent"/>
  </r>
  <r>
    <s v="6E1290"/>
    <d v="2025-06-10T00:00:00"/>
    <x v="0"/>
    <x v="1"/>
    <x v="8"/>
    <x v="8"/>
    <x v="1"/>
    <n v="134"/>
    <n v="180"/>
    <n v="46"/>
    <n v="74.44"/>
    <x v="0"/>
    <n v="1064842"/>
    <n v="56248"/>
    <n v="1121090"/>
    <n v="562833"/>
    <n v="1142916"/>
    <n v="1705749"/>
    <n v="-584659"/>
    <n v="-0.5215094238642749"/>
    <n v="38"/>
    <s v="No"/>
    <n v="4.5999999999999996"/>
    <s v="Excellent"/>
  </r>
  <r>
    <s v="6E1291"/>
    <d v="2025-06-16T00:00:00"/>
    <x v="0"/>
    <x v="1"/>
    <x v="9"/>
    <x v="9"/>
    <x v="1"/>
    <n v="165"/>
    <n v="180"/>
    <n v="15"/>
    <n v="91.67"/>
    <x v="1"/>
    <n v="838320"/>
    <n v="133660"/>
    <n v="971980"/>
    <n v="685472"/>
    <n v="1250514"/>
    <n v="1935986"/>
    <n v="-964006"/>
    <n v="-0.99179612749233526"/>
    <n v="55"/>
    <s v="No"/>
    <n v="4.3"/>
    <s v="Excellent"/>
  </r>
  <r>
    <s v="6E1292"/>
    <d v="2025-04-29T00:00:00"/>
    <x v="0"/>
    <x v="6"/>
    <x v="5"/>
    <x v="5"/>
    <x v="1"/>
    <n v="141"/>
    <n v="180"/>
    <n v="39"/>
    <n v="78.33"/>
    <x v="0"/>
    <n v="1034045"/>
    <n v="66695"/>
    <n v="1100740"/>
    <n v="1081665"/>
    <n v="1466899"/>
    <n v="2548564"/>
    <n v="-1447824"/>
    <n v="-1.3153187855442703"/>
    <n v="80"/>
    <s v="No"/>
    <n v="4.7"/>
    <s v="Excellent"/>
  </r>
  <r>
    <s v="6E1293"/>
    <d v="2025-02-15T00:00:00"/>
    <x v="0"/>
    <x v="11"/>
    <x v="7"/>
    <x v="7"/>
    <x v="2"/>
    <n v="143"/>
    <n v="232"/>
    <n v="89"/>
    <n v="61.64"/>
    <x v="0"/>
    <n v="1025925"/>
    <n v="43615"/>
    <n v="1069540"/>
    <n v="422462"/>
    <n v="968904"/>
    <n v="1391366"/>
    <n v="-321826"/>
    <n v="-0.30090132206369091"/>
    <n v="29"/>
    <s v="No"/>
    <n v="3.4"/>
    <s v="Good"/>
  </r>
  <r>
    <s v="6E1294"/>
    <d v="2025-10-29T00:00:00"/>
    <x v="0"/>
    <x v="7"/>
    <x v="9"/>
    <x v="9"/>
    <x v="1"/>
    <n v="148"/>
    <n v="180"/>
    <n v="32"/>
    <n v="82.22"/>
    <x v="0"/>
    <n v="542413"/>
    <n v="149142"/>
    <n v="691555"/>
    <n v="555580"/>
    <n v="968900"/>
    <n v="1524480"/>
    <n v="-832925"/>
    <n v="-1.2044233647359934"/>
    <n v="5"/>
    <s v="Yes"/>
    <n v="4.0999999999999996"/>
    <s v="Excellent"/>
  </r>
  <r>
    <s v="6E1295"/>
    <d v="2025-12-30T00:00:00"/>
    <x v="0"/>
    <x v="3"/>
    <x v="2"/>
    <x v="2"/>
    <x v="2"/>
    <n v="168"/>
    <n v="232"/>
    <n v="64"/>
    <n v="72.41"/>
    <x v="0"/>
    <n v="1073950"/>
    <n v="130167"/>
    <n v="1204117"/>
    <n v="504016"/>
    <n v="900404"/>
    <n v="1404420"/>
    <n v="-200303"/>
    <n v="-0.16634845284968156"/>
    <n v="27"/>
    <s v="No"/>
    <n v="3.7"/>
    <s v="Good"/>
  </r>
  <r>
    <s v="6E1296"/>
    <d v="2025-06-25T00:00:00"/>
    <x v="0"/>
    <x v="1"/>
    <x v="0"/>
    <x v="0"/>
    <x v="1"/>
    <n v="153"/>
    <n v="180"/>
    <n v="27"/>
    <n v="85"/>
    <x v="1"/>
    <n v="1161899"/>
    <n v="90152"/>
    <n v="1252051"/>
    <n v="541860"/>
    <n v="809473"/>
    <n v="1351333"/>
    <n v="-99282"/>
    <n v="-7.929549195679729E-2"/>
    <n v="67"/>
    <s v="No"/>
    <n v="4.5999999999999996"/>
    <s v="Excellent"/>
  </r>
  <r>
    <s v="6E1297"/>
    <d v="2025-11-27T00:00:00"/>
    <x v="0"/>
    <x v="8"/>
    <x v="8"/>
    <x v="8"/>
    <x v="2"/>
    <n v="169"/>
    <n v="232"/>
    <n v="63"/>
    <n v="72.84"/>
    <x v="0"/>
    <n v="993268"/>
    <n v="122532"/>
    <n v="1115800"/>
    <n v="765478"/>
    <n v="1120009"/>
    <n v="1885487"/>
    <n v="-769687"/>
    <n v="-0.68980731313855526"/>
    <n v="61"/>
    <s v="No"/>
    <n v="4.5999999999999996"/>
    <s v="Excellent"/>
  </r>
  <r>
    <s v="6E1298"/>
    <d v="2025-03-04T00:00:00"/>
    <x v="0"/>
    <x v="4"/>
    <x v="5"/>
    <x v="5"/>
    <x v="1"/>
    <n v="119"/>
    <n v="180"/>
    <n v="61"/>
    <n v="66.11"/>
    <x v="0"/>
    <n v="620003"/>
    <n v="59679"/>
    <n v="679682"/>
    <n v="403084"/>
    <n v="798590"/>
    <n v="1201674"/>
    <n v="-521992"/>
    <n v="-0.76799444446079201"/>
    <n v="39"/>
    <s v="No"/>
    <n v="4.5"/>
    <s v="Excellent"/>
  </r>
  <r>
    <s v="6E1299"/>
    <d v="2025-05-18T00:00:00"/>
    <x v="0"/>
    <x v="0"/>
    <x v="2"/>
    <x v="2"/>
    <x v="0"/>
    <n v="76"/>
    <n v="78"/>
    <n v="2"/>
    <n v="97.44"/>
    <x v="1"/>
    <n v="675203"/>
    <n v="46780"/>
    <n v="721983"/>
    <n v="1095913"/>
    <n v="1324500"/>
    <n v="2420413"/>
    <n v="-1698430"/>
    <n v="-2.3524515120162111"/>
    <n v="5"/>
    <s v="Yes"/>
    <n v="4"/>
    <s v="Excellent"/>
  </r>
  <r>
    <s v="6E1300"/>
    <d v="2025-09-21T00:00:00"/>
    <x v="0"/>
    <x v="5"/>
    <x v="9"/>
    <x v="9"/>
    <x v="0"/>
    <n v="56"/>
    <n v="78"/>
    <n v="22"/>
    <n v="71.790000000000006"/>
    <x v="0"/>
    <n v="301039"/>
    <n v="16589"/>
    <n v="317628"/>
    <n v="1174531"/>
    <n v="1590709"/>
    <n v="2765240"/>
    <n v="-2447612"/>
    <n v="-7.7059075396375638"/>
    <n v="19"/>
    <s v="No"/>
    <n v="3.4"/>
    <s v="Good"/>
  </r>
  <r>
    <s v="6E1301"/>
    <d v="2025-08-27T00:00:00"/>
    <x v="0"/>
    <x v="9"/>
    <x v="1"/>
    <x v="1"/>
    <x v="2"/>
    <n v="225"/>
    <n v="232"/>
    <n v="7"/>
    <n v="96.98"/>
    <x v="1"/>
    <n v="994996"/>
    <n v="48457"/>
    <n v="1043453"/>
    <n v="1165635"/>
    <n v="1760985"/>
    <n v="2926620"/>
    <n v="-1883167"/>
    <n v="-1.8047453982115151"/>
    <n v="63"/>
    <s v="No"/>
    <n v="3.7"/>
    <s v="Good"/>
  </r>
  <r>
    <s v="6E1302"/>
    <d v="2025-03-30T00:00:00"/>
    <x v="0"/>
    <x v="4"/>
    <x v="3"/>
    <x v="3"/>
    <x v="1"/>
    <n v="120"/>
    <n v="180"/>
    <n v="60"/>
    <n v="66.67"/>
    <x v="0"/>
    <n v="578122"/>
    <n v="143087"/>
    <n v="721209"/>
    <n v="468292"/>
    <n v="710701"/>
    <n v="1178993"/>
    <n v="-457784"/>
    <n v="-0.63474526801523556"/>
    <n v="62"/>
    <s v="No"/>
    <n v="4.4000000000000004"/>
    <s v="Excellent"/>
  </r>
  <r>
    <s v="6E1303"/>
    <d v="2025-07-16T00:00:00"/>
    <x v="0"/>
    <x v="2"/>
    <x v="4"/>
    <x v="4"/>
    <x v="0"/>
    <n v="47"/>
    <n v="78"/>
    <n v="31"/>
    <n v="60.26"/>
    <x v="0"/>
    <n v="419073"/>
    <n v="112200"/>
    <n v="531273"/>
    <n v="1003156"/>
    <n v="1496262"/>
    <n v="2499418"/>
    <n v="-1968145"/>
    <n v="-3.7045831427533491"/>
    <n v="42"/>
    <s v="No"/>
    <n v="4.5"/>
    <s v="Excellent"/>
  </r>
  <r>
    <s v="6E1304"/>
    <d v="2025-04-23T00:00:00"/>
    <x v="0"/>
    <x v="6"/>
    <x v="5"/>
    <x v="5"/>
    <x v="1"/>
    <n v="170"/>
    <n v="180"/>
    <n v="10"/>
    <n v="94.44"/>
    <x v="1"/>
    <n v="1512765"/>
    <n v="83589"/>
    <n v="1596354"/>
    <n v="884239"/>
    <n v="1276863"/>
    <n v="2161102"/>
    <n v="-564748"/>
    <n v="-0.35377366173167102"/>
    <n v="44"/>
    <s v="No"/>
    <n v="4.0999999999999996"/>
    <s v="Excellent"/>
  </r>
  <r>
    <s v="6E1305"/>
    <d v="2025-01-11T00:00:00"/>
    <x v="0"/>
    <x v="10"/>
    <x v="9"/>
    <x v="9"/>
    <x v="0"/>
    <n v="62"/>
    <n v="78"/>
    <n v="16"/>
    <n v="79.489999999999995"/>
    <x v="0"/>
    <n v="448323"/>
    <n v="90747"/>
    <n v="539070"/>
    <n v="499125"/>
    <n v="936939"/>
    <n v="1436064"/>
    <n v="-896994"/>
    <n v="-1.6639657187378263"/>
    <n v="42"/>
    <s v="No"/>
    <n v="3.9"/>
    <s v="Good"/>
  </r>
  <r>
    <s v="6E1306"/>
    <d v="2025-06-28T00:00:00"/>
    <x v="0"/>
    <x v="1"/>
    <x v="3"/>
    <x v="3"/>
    <x v="0"/>
    <n v="65"/>
    <n v="78"/>
    <n v="13"/>
    <n v="83.33"/>
    <x v="0"/>
    <n v="244495"/>
    <n v="31265"/>
    <n v="275760"/>
    <n v="938105"/>
    <n v="1202671"/>
    <n v="2140776"/>
    <n v="-1865016"/>
    <n v="-6.7631853785900784"/>
    <n v="45"/>
    <s v="No"/>
    <n v="4.2"/>
    <s v="Excellent"/>
  </r>
  <r>
    <s v="6E1307"/>
    <d v="2025-08-31T00:00:00"/>
    <x v="0"/>
    <x v="9"/>
    <x v="4"/>
    <x v="4"/>
    <x v="2"/>
    <n v="180"/>
    <n v="232"/>
    <n v="52"/>
    <n v="77.59"/>
    <x v="0"/>
    <n v="675023"/>
    <n v="144397"/>
    <n v="819420"/>
    <n v="1045315"/>
    <n v="1434332"/>
    <n v="2479647"/>
    <n v="-1660227"/>
    <n v="-2.0261001684118036"/>
    <n v="29"/>
    <s v="No"/>
    <n v="3.2"/>
    <s v="Good"/>
  </r>
  <r>
    <s v="6E1308"/>
    <d v="2025-04-11T00:00:00"/>
    <x v="0"/>
    <x v="6"/>
    <x v="2"/>
    <x v="2"/>
    <x v="0"/>
    <n v="71"/>
    <n v="78"/>
    <n v="7"/>
    <n v="91.03"/>
    <x v="1"/>
    <n v="426540"/>
    <n v="27002"/>
    <n v="453542"/>
    <n v="1087648"/>
    <n v="1222414"/>
    <n v="2310062"/>
    <n v="-1856520"/>
    <n v="-4.0933805468953262"/>
    <n v="45"/>
    <s v="No"/>
    <n v="4.2"/>
    <s v="Excellent"/>
  </r>
  <r>
    <s v="6E1309"/>
    <d v="2025-10-24T00:00:00"/>
    <x v="0"/>
    <x v="7"/>
    <x v="7"/>
    <x v="7"/>
    <x v="1"/>
    <n v="168"/>
    <n v="180"/>
    <n v="12"/>
    <n v="93.33"/>
    <x v="1"/>
    <n v="804539"/>
    <n v="92793"/>
    <n v="897332"/>
    <n v="374492"/>
    <n v="615683"/>
    <n v="990175"/>
    <n v="-92843"/>
    <n v="-0.10346560693255116"/>
    <n v="88"/>
    <s v="No"/>
    <n v="3.8"/>
    <s v="Good"/>
  </r>
  <r>
    <s v="6E1310"/>
    <d v="2025-05-09T00:00:00"/>
    <x v="0"/>
    <x v="0"/>
    <x v="7"/>
    <x v="7"/>
    <x v="0"/>
    <n v="71"/>
    <n v="78"/>
    <n v="7"/>
    <n v="91.03"/>
    <x v="1"/>
    <n v="357637"/>
    <n v="108021"/>
    <n v="465658"/>
    <n v="601282"/>
    <n v="952480"/>
    <n v="1553762"/>
    <n v="-1088104"/>
    <n v="-2.3367020431303662"/>
    <n v="21"/>
    <s v="No"/>
    <n v="3.3"/>
    <s v="Good"/>
  </r>
  <r>
    <s v="6E1311"/>
    <d v="2025-12-31T00:00:00"/>
    <x v="0"/>
    <x v="3"/>
    <x v="2"/>
    <x v="2"/>
    <x v="1"/>
    <n v="132"/>
    <n v="180"/>
    <n v="48"/>
    <n v="73.33"/>
    <x v="0"/>
    <n v="894013"/>
    <n v="74364"/>
    <n v="968377"/>
    <n v="285168"/>
    <n v="880505"/>
    <n v="1165673"/>
    <n v="-197296"/>
    <n v="-0.20373883311974572"/>
    <n v="38"/>
    <s v="No"/>
    <n v="4.5"/>
    <s v="Excellent"/>
  </r>
  <r>
    <s v="6E1312"/>
    <d v="2025-12-08T00:00:00"/>
    <x v="0"/>
    <x v="3"/>
    <x v="0"/>
    <x v="0"/>
    <x v="0"/>
    <n v="46"/>
    <n v="78"/>
    <n v="32"/>
    <n v="58.97"/>
    <x v="2"/>
    <n v="225010"/>
    <n v="32454"/>
    <n v="257464"/>
    <n v="879955"/>
    <n v="1429692"/>
    <n v="2309647"/>
    <n v="-2052183"/>
    <n v="-7.970757076717522"/>
    <n v="10"/>
    <s v="Yes"/>
    <n v="4"/>
    <s v="Excellent"/>
  </r>
  <r>
    <s v="6E1313"/>
    <d v="2025-04-06T00:00:00"/>
    <x v="0"/>
    <x v="6"/>
    <x v="3"/>
    <x v="3"/>
    <x v="1"/>
    <n v="165"/>
    <n v="180"/>
    <n v="15"/>
    <n v="91.67"/>
    <x v="1"/>
    <n v="1072005"/>
    <n v="36336"/>
    <n v="1108341"/>
    <n v="1164681"/>
    <n v="1549791"/>
    <n v="2714472"/>
    <n v="-1606131"/>
    <n v="-1.4491307278175218"/>
    <n v="5"/>
    <s v="Yes"/>
    <n v="3.8"/>
    <s v="Good"/>
  </r>
  <r>
    <s v="6E1314"/>
    <d v="2025-02-01T00:00:00"/>
    <x v="0"/>
    <x v="11"/>
    <x v="8"/>
    <x v="8"/>
    <x v="0"/>
    <n v="51"/>
    <n v="78"/>
    <n v="27"/>
    <n v="65.38"/>
    <x v="0"/>
    <n v="345793"/>
    <n v="48652"/>
    <n v="394445"/>
    <n v="438367"/>
    <n v="841056"/>
    <n v="1279423"/>
    <n v="-884978"/>
    <n v="-2.2436030371788207"/>
    <n v="77"/>
    <s v="No"/>
    <n v="3.8"/>
    <s v="Good"/>
  </r>
  <r>
    <s v="6E1315"/>
    <d v="2025-11-24T00:00:00"/>
    <x v="0"/>
    <x v="8"/>
    <x v="8"/>
    <x v="8"/>
    <x v="1"/>
    <n v="120"/>
    <n v="180"/>
    <n v="60"/>
    <n v="66.67"/>
    <x v="0"/>
    <n v="586168"/>
    <n v="25163"/>
    <n v="611331"/>
    <n v="1170895"/>
    <n v="1640275"/>
    <n v="2811170"/>
    <n v="-2199839"/>
    <n v="-3.5984417606828378"/>
    <n v="46"/>
    <s v="No"/>
    <n v="3.5"/>
    <s v="Good"/>
  </r>
  <r>
    <s v="6E1316"/>
    <d v="2025-02-17T00:00:00"/>
    <x v="0"/>
    <x v="11"/>
    <x v="3"/>
    <x v="3"/>
    <x v="0"/>
    <n v="69"/>
    <n v="78"/>
    <n v="9"/>
    <n v="88.46"/>
    <x v="1"/>
    <n v="527832"/>
    <n v="142804"/>
    <n v="670636"/>
    <n v="677855"/>
    <n v="920086"/>
    <n v="1597941"/>
    <n v="-927305"/>
    <n v="-1.3827247567980245"/>
    <n v="61"/>
    <s v="No"/>
    <n v="3.8"/>
    <s v="Good"/>
  </r>
  <r>
    <s v="6E1317"/>
    <d v="2025-04-27T00:00:00"/>
    <x v="0"/>
    <x v="6"/>
    <x v="8"/>
    <x v="8"/>
    <x v="0"/>
    <n v="64"/>
    <n v="78"/>
    <n v="14"/>
    <n v="82.05"/>
    <x v="0"/>
    <n v="413150"/>
    <n v="23542"/>
    <n v="436692"/>
    <n v="788936"/>
    <n v="906931"/>
    <n v="1695867"/>
    <n v="-1259175"/>
    <n v="-2.8834395867109999"/>
    <n v="30"/>
    <s v="No"/>
    <n v="3.2"/>
    <s v="Good"/>
  </r>
  <r>
    <s v="6E1318"/>
    <d v="2025-06-27T00:00:00"/>
    <x v="0"/>
    <x v="1"/>
    <x v="5"/>
    <x v="5"/>
    <x v="1"/>
    <n v="165"/>
    <n v="180"/>
    <n v="15"/>
    <n v="91.67"/>
    <x v="1"/>
    <n v="1059136"/>
    <n v="18192"/>
    <n v="1077328"/>
    <n v="1198401"/>
    <n v="1674265"/>
    <n v="2872666"/>
    <n v="-1795338"/>
    <n v="-1.6664729775889979"/>
    <n v="20"/>
    <s v="No"/>
    <n v="4.0999999999999996"/>
    <s v="Excellent"/>
  </r>
  <r>
    <s v="6E1319"/>
    <d v="2025-03-30T00:00:00"/>
    <x v="0"/>
    <x v="4"/>
    <x v="6"/>
    <x v="6"/>
    <x v="1"/>
    <n v="171"/>
    <n v="180"/>
    <n v="9"/>
    <n v="95"/>
    <x v="1"/>
    <n v="617564"/>
    <n v="51685"/>
    <n v="669249"/>
    <n v="873016"/>
    <n v="1171685"/>
    <n v="2044701"/>
    <n v="-1375452"/>
    <n v="-2.0552171164992403"/>
    <n v="1"/>
    <s v="Yes"/>
    <n v="4.3"/>
    <s v="Excellent"/>
  </r>
  <r>
    <s v="6E1320"/>
    <d v="2025-06-03T00:00:00"/>
    <x v="0"/>
    <x v="1"/>
    <x v="8"/>
    <x v="8"/>
    <x v="0"/>
    <n v="68"/>
    <n v="78"/>
    <n v="10"/>
    <n v="87.18"/>
    <x v="1"/>
    <n v="261546"/>
    <n v="45222"/>
    <n v="306768"/>
    <n v="625215"/>
    <n v="1311539"/>
    <n v="1936754"/>
    <n v="-1629986"/>
    <n v="-5.3134160016690135"/>
    <n v="73"/>
    <s v="No"/>
    <n v="3.3"/>
    <s v="Good"/>
  </r>
  <r>
    <s v="6E1321"/>
    <d v="2025-07-01T00:00:00"/>
    <x v="0"/>
    <x v="2"/>
    <x v="0"/>
    <x v="0"/>
    <x v="1"/>
    <n v="153"/>
    <n v="180"/>
    <n v="27"/>
    <n v="85"/>
    <x v="1"/>
    <n v="1066754"/>
    <n v="147758"/>
    <n v="1214512"/>
    <n v="488501"/>
    <n v="1101550"/>
    <n v="1590051"/>
    <n v="-375539"/>
    <n v="-0.30920978961097134"/>
    <n v="22"/>
    <s v="No"/>
    <n v="4.4000000000000004"/>
    <s v="Excellent"/>
  </r>
  <r>
    <s v="6E1322"/>
    <d v="2025-05-23T00:00:00"/>
    <x v="0"/>
    <x v="0"/>
    <x v="8"/>
    <x v="8"/>
    <x v="2"/>
    <n v="154"/>
    <n v="232"/>
    <n v="78"/>
    <n v="66.38"/>
    <x v="0"/>
    <n v="1011925"/>
    <n v="143421"/>
    <n v="1155346"/>
    <n v="689640"/>
    <n v="1373660"/>
    <n v="2063300"/>
    <n v="-907954"/>
    <n v="-0.78587193793028232"/>
    <n v="15"/>
    <s v="Yes"/>
    <n v="4.5999999999999996"/>
    <s v="Excellent"/>
  </r>
  <r>
    <s v="6E1323"/>
    <d v="2025-11-15T00:00:00"/>
    <x v="0"/>
    <x v="8"/>
    <x v="4"/>
    <x v="4"/>
    <x v="2"/>
    <n v="150"/>
    <n v="232"/>
    <n v="82"/>
    <n v="64.66"/>
    <x v="0"/>
    <n v="1194805"/>
    <n v="105200"/>
    <n v="1300005"/>
    <n v="743672"/>
    <n v="1211424"/>
    <n v="1955096"/>
    <n v="-655091"/>
    <n v="-0.50391421571455497"/>
    <n v="14"/>
    <s v="Yes"/>
    <n v="4.3"/>
    <s v="Excellent"/>
  </r>
  <r>
    <s v="6E1324"/>
    <d v="2025-06-25T00:00:00"/>
    <x v="0"/>
    <x v="1"/>
    <x v="8"/>
    <x v="8"/>
    <x v="2"/>
    <n v="180"/>
    <n v="232"/>
    <n v="52"/>
    <n v="77.59"/>
    <x v="0"/>
    <n v="1591711"/>
    <n v="78655"/>
    <n v="1670366"/>
    <n v="1019432"/>
    <n v="1672821"/>
    <n v="2692253"/>
    <n v="-1021887"/>
    <n v="-0.61177430575095515"/>
    <n v="41"/>
    <s v="No"/>
    <n v="4.7"/>
    <s v="Excellent"/>
  </r>
  <r>
    <s v="6E1325"/>
    <d v="2025-09-25T00:00:00"/>
    <x v="0"/>
    <x v="5"/>
    <x v="0"/>
    <x v="0"/>
    <x v="0"/>
    <n v="46"/>
    <n v="78"/>
    <n v="32"/>
    <n v="58.97"/>
    <x v="2"/>
    <n v="346027"/>
    <n v="100632"/>
    <n v="446659"/>
    <n v="858364"/>
    <n v="1404379"/>
    <n v="2262743"/>
    <n v="-1816084"/>
    <n v="-4.0659294898345273"/>
    <n v="90"/>
    <s v="No"/>
    <n v="4.5"/>
    <s v="Excellent"/>
  </r>
  <r>
    <s v="6E1326"/>
    <d v="2025-07-09T00:00:00"/>
    <x v="0"/>
    <x v="2"/>
    <x v="1"/>
    <x v="1"/>
    <x v="2"/>
    <n v="181"/>
    <n v="232"/>
    <n v="51"/>
    <n v="78.02"/>
    <x v="0"/>
    <n v="664712"/>
    <n v="52119"/>
    <n v="716831"/>
    <n v="603685"/>
    <n v="725579"/>
    <n v="1329264"/>
    <n v="-612433"/>
    <n v="-0.8543617672784799"/>
    <n v="22"/>
    <s v="No"/>
    <n v="3.2"/>
    <s v="Good"/>
  </r>
  <r>
    <s v="6E1327"/>
    <d v="2025-05-07T00:00:00"/>
    <x v="0"/>
    <x v="0"/>
    <x v="4"/>
    <x v="4"/>
    <x v="0"/>
    <n v="71"/>
    <n v="78"/>
    <n v="7"/>
    <n v="91.03"/>
    <x v="1"/>
    <n v="419403"/>
    <n v="147869"/>
    <n v="567272"/>
    <n v="982801"/>
    <n v="1177891"/>
    <n v="2160692"/>
    <n v="-1593420"/>
    <n v="-2.8089170627141828"/>
    <n v="9"/>
    <s v="Yes"/>
    <n v="3.8"/>
    <s v="Good"/>
  </r>
  <r>
    <s v="6E1328"/>
    <d v="2025-01-18T00:00:00"/>
    <x v="0"/>
    <x v="10"/>
    <x v="3"/>
    <x v="3"/>
    <x v="1"/>
    <n v="149"/>
    <n v="180"/>
    <n v="31"/>
    <n v="82.78"/>
    <x v="0"/>
    <n v="1217669"/>
    <n v="118740"/>
    <n v="1336409"/>
    <n v="647330"/>
    <n v="868077"/>
    <n v="1515407"/>
    <n v="-178998"/>
    <n v="-0.13393953497769021"/>
    <n v="22"/>
    <s v="No"/>
    <n v="4.0999999999999996"/>
    <s v="Excellent"/>
  </r>
  <r>
    <s v="6E1329"/>
    <d v="2025-10-31T00:00:00"/>
    <x v="0"/>
    <x v="7"/>
    <x v="3"/>
    <x v="3"/>
    <x v="2"/>
    <n v="210"/>
    <n v="232"/>
    <n v="22"/>
    <n v="90.52"/>
    <x v="1"/>
    <n v="1193658"/>
    <n v="44871"/>
    <n v="1238529"/>
    <n v="1164237"/>
    <n v="1564845"/>
    <n v="2729082"/>
    <n v="-1490553"/>
    <n v="-1.2034865554217948"/>
    <n v="18"/>
    <s v="No"/>
    <n v="4.8"/>
    <s v="Excellent"/>
  </r>
  <r>
    <s v="6E1330"/>
    <d v="2025-08-24T00:00:00"/>
    <x v="0"/>
    <x v="9"/>
    <x v="3"/>
    <x v="3"/>
    <x v="0"/>
    <n v="53"/>
    <n v="78"/>
    <n v="25"/>
    <n v="67.95"/>
    <x v="0"/>
    <n v="202659"/>
    <n v="42464"/>
    <n v="245123"/>
    <n v="378084"/>
    <n v="678474"/>
    <n v="1056558"/>
    <n v="-811435"/>
    <n v="-3.3103176772477489"/>
    <n v="20"/>
    <s v="No"/>
    <n v="4.7"/>
    <s v="Excellent"/>
  </r>
  <r>
    <s v="6E1331"/>
    <d v="2025-11-14T00:00:00"/>
    <x v="0"/>
    <x v="8"/>
    <x v="5"/>
    <x v="5"/>
    <x v="1"/>
    <n v="152"/>
    <n v="180"/>
    <n v="28"/>
    <n v="84.44"/>
    <x v="0"/>
    <n v="951386"/>
    <n v="130636"/>
    <n v="1082022"/>
    <n v="919637"/>
    <n v="1212042"/>
    <n v="2131679"/>
    <n v="-1049657"/>
    <n v="-0.97008840855361533"/>
    <n v="81"/>
    <s v="No"/>
    <n v="3.6"/>
    <s v="Good"/>
  </r>
  <r>
    <s v="6E1332"/>
    <d v="2025-05-05T00:00:00"/>
    <x v="0"/>
    <x v="0"/>
    <x v="5"/>
    <x v="5"/>
    <x v="0"/>
    <n v="62"/>
    <n v="78"/>
    <n v="16"/>
    <n v="79.489999999999995"/>
    <x v="0"/>
    <n v="302006"/>
    <n v="144104"/>
    <n v="446110"/>
    <n v="369063"/>
    <n v="516301"/>
    <n v="885364"/>
    <n v="-439254"/>
    <n v="-0.98463159310483961"/>
    <n v="19"/>
    <s v="No"/>
    <n v="4.0999999999999996"/>
    <s v="Excellent"/>
  </r>
  <r>
    <s v="6E1333"/>
    <d v="2025-07-14T00:00:00"/>
    <x v="0"/>
    <x v="2"/>
    <x v="6"/>
    <x v="6"/>
    <x v="0"/>
    <n v="68"/>
    <n v="78"/>
    <n v="10"/>
    <n v="87.18"/>
    <x v="1"/>
    <n v="383261"/>
    <n v="57527"/>
    <n v="440788"/>
    <n v="273280"/>
    <n v="697053"/>
    <n v="970333"/>
    <n v="-529545"/>
    <n v="-1.2013598373821428"/>
    <n v="40"/>
    <s v="No"/>
    <n v="3.6"/>
    <s v="Good"/>
  </r>
  <r>
    <s v="6E1334"/>
    <d v="2025-11-19T00:00:00"/>
    <x v="0"/>
    <x v="8"/>
    <x v="7"/>
    <x v="7"/>
    <x v="0"/>
    <n v="61"/>
    <n v="78"/>
    <n v="17"/>
    <n v="78.209999999999994"/>
    <x v="0"/>
    <n v="516541"/>
    <n v="42621"/>
    <n v="559162"/>
    <n v="528625"/>
    <n v="699284"/>
    <n v="1227909"/>
    <n v="-668747"/>
    <n v="-1.1959807712255124"/>
    <n v="0"/>
    <s v="Yes"/>
    <n v="4"/>
    <s v="Excellent"/>
  </r>
  <r>
    <s v="6E1335"/>
    <d v="2025-09-01T00:00:00"/>
    <x v="0"/>
    <x v="5"/>
    <x v="2"/>
    <x v="2"/>
    <x v="2"/>
    <n v="201"/>
    <n v="232"/>
    <n v="31"/>
    <n v="86.64"/>
    <x v="1"/>
    <n v="1044828"/>
    <n v="69059"/>
    <n v="1113887"/>
    <n v="1003158"/>
    <n v="1555907"/>
    <n v="2559065"/>
    <n v="-1445178"/>
    <n v="-1.2974188584658946"/>
    <n v="32"/>
    <s v="No"/>
    <n v="4.4000000000000004"/>
    <s v="Excellent"/>
  </r>
  <r>
    <s v="6E1336"/>
    <d v="2025-12-21T00:00:00"/>
    <x v="0"/>
    <x v="3"/>
    <x v="6"/>
    <x v="6"/>
    <x v="0"/>
    <n v="62"/>
    <n v="78"/>
    <n v="16"/>
    <n v="79.489999999999995"/>
    <x v="0"/>
    <n v="417357"/>
    <n v="141457"/>
    <n v="558814"/>
    <n v="318572"/>
    <n v="977134"/>
    <n v="1295706"/>
    <n v="-736892"/>
    <n v="-1.318671328921609"/>
    <n v="69"/>
    <s v="No"/>
    <n v="4.7"/>
    <s v="Excellent"/>
  </r>
  <r>
    <s v="6E1337"/>
    <d v="2025-12-15T00:00:00"/>
    <x v="0"/>
    <x v="3"/>
    <x v="1"/>
    <x v="1"/>
    <x v="0"/>
    <n v="53"/>
    <n v="78"/>
    <n v="25"/>
    <n v="67.95"/>
    <x v="0"/>
    <n v="467368"/>
    <n v="80937"/>
    <n v="548305"/>
    <n v="449455"/>
    <n v="1146918"/>
    <n v="1596373"/>
    <n v="-1048068"/>
    <n v="-1.9114689816799044"/>
    <n v="60"/>
    <s v="No"/>
    <n v="4.4000000000000004"/>
    <s v="Excellent"/>
  </r>
  <r>
    <s v="6E1338"/>
    <d v="2025-07-30T00:00:00"/>
    <x v="0"/>
    <x v="2"/>
    <x v="1"/>
    <x v="1"/>
    <x v="1"/>
    <n v="108"/>
    <n v="180"/>
    <n v="72"/>
    <n v="60"/>
    <x v="0"/>
    <n v="651680"/>
    <n v="32453"/>
    <n v="684133"/>
    <n v="883268"/>
    <n v="1387781"/>
    <n v="2271049"/>
    <n v="-1586916"/>
    <n v="-2.3196015979349043"/>
    <n v="30"/>
    <s v="No"/>
    <n v="4.8"/>
    <s v="Excellent"/>
  </r>
  <r>
    <s v="6E1339"/>
    <d v="2025-06-30T00:00:00"/>
    <x v="0"/>
    <x v="1"/>
    <x v="8"/>
    <x v="8"/>
    <x v="2"/>
    <n v="164"/>
    <n v="232"/>
    <n v="68"/>
    <n v="70.69"/>
    <x v="0"/>
    <n v="585587"/>
    <n v="134436"/>
    <n v="720023"/>
    <n v="405241"/>
    <n v="907650"/>
    <n v="1312891"/>
    <n v="-592868"/>
    <n v="-0.8234014746751146"/>
    <n v="17"/>
    <s v="No"/>
    <n v="3.3"/>
    <s v="Good"/>
  </r>
  <r>
    <s v="6E1340"/>
    <d v="2025-02-26T00:00:00"/>
    <x v="0"/>
    <x v="11"/>
    <x v="7"/>
    <x v="7"/>
    <x v="1"/>
    <n v="110"/>
    <n v="180"/>
    <n v="70"/>
    <n v="61.11"/>
    <x v="0"/>
    <n v="451692"/>
    <n v="61129"/>
    <n v="512821"/>
    <n v="1189921"/>
    <n v="1580626"/>
    <n v="2770547"/>
    <n v="-2257726"/>
    <n v="-4.402561517566558"/>
    <n v="25"/>
    <s v="No"/>
    <n v="4"/>
    <s v="Excellent"/>
  </r>
  <r>
    <s v="6E1341"/>
    <d v="2025-09-10T00:00:00"/>
    <x v="0"/>
    <x v="5"/>
    <x v="3"/>
    <x v="3"/>
    <x v="1"/>
    <n v="135"/>
    <n v="180"/>
    <n v="45"/>
    <n v="75"/>
    <x v="0"/>
    <n v="1191799"/>
    <n v="104044"/>
    <n v="1295843"/>
    <n v="1047993"/>
    <n v="1608682"/>
    <n v="2656675"/>
    <n v="-1360832"/>
    <n v="-1.0501519088346352"/>
    <n v="52"/>
    <s v="No"/>
    <n v="3.4"/>
    <s v="Good"/>
  </r>
  <r>
    <s v="6E1342"/>
    <d v="2025-10-17T00:00:00"/>
    <x v="0"/>
    <x v="7"/>
    <x v="9"/>
    <x v="9"/>
    <x v="1"/>
    <n v="158"/>
    <n v="180"/>
    <n v="22"/>
    <n v="87.78"/>
    <x v="1"/>
    <n v="1135847"/>
    <n v="131047"/>
    <n v="1266894"/>
    <n v="750753"/>
    <n v="1101561"/>
    <n v="1852314"/>
    <n v="-585420"/>
    <n v="-0.46209075108099018"/>
    <n v="63"/>
    <s v="No"/>
    <n v="4.5"/>
    <s v="Excellent"/>
  </r>
  <r>
    <s v="6E1343"/>
    <d v="2025-11-15T00:00:00"/>
    <x v="0"/>
    <x v="8"/>
    <x v="8"/>
    <x v="8"/>
    <x v="1"/>
    <n v="117"/>
    <n v="180"/>
    <n v="63"/>
    <n v="65"/>
    <x v="0"/>
    <n v="448322"/>
    <n v="132631"/>
    <n v="580953"/>
    <n v="1137018"/>
    <n v="1645959"/>
    <n v="2782977"/>
    <n v="-2202024"/>
    <n v="-3.7903651414141937"/>
    <n v="19"/>
    <s v="No"/>
    <n v="4.0999999999999996"/>
    <s v="Excellent"/>
  </r>
  <r>
    <s v="6E1344"/>
    <d v="2025-03-01T00:00:00"/>
    <x v="0"/>
    <x v="4"/>
    <x v="2"/>
    <x v="2"/>
    <x v="2"/>
    <n v="202"/>
    <n v="232"/>
    <n v="30"/>
    <n v="87.07"/>
    <x v="1"/>
    <n v="1258639"/>
    <n v="126996"/>
    <n v="1385635"/>
    <n v="529018"/>
    <n v="738317"/>
    <n v="1267335"/>
    <n v="118300"/>
    <n v="8.5376018937165996E-2"/>
    <n v="43"/>
    <s v="No"/>
    <n v="4.0999999999999996"/>
    <s v="Excellent"/>
  </r>
  <r>
    <s v="6E1345"/>
    <d v="2025-05-31T00:00:00"/>
    <x v="0"/>
    <x v="0"/>
    <x v="0"/>
    <x v="0"/>
    <x v="0"/>
    <n v="48"/>
    <n v="78"/>
    <n v="30"/>
    <n v="61.54"/>
    <x v="0"/>
    <n v="282104"/>
    <n v="113808"/>
    <n v="395912"/>
    <n v="1073280"/>
    <n v="1736878"/>
    <n v="2810158"/>
    <n v="-2414246"/>
    <n v="-6.0979359049485744"/>
    <n v="45"/>
    <s v="No"/>
    <n v="4.5999999999999996"/>
    <s v="Excellent"/>
  </r>
  <r>
    <s v="6E1346"/>
    <d v="2025-01-28T00:00:00"/>
    <x v="0"/>
    <x v="10"/>
    <x v="5"/>
    <x v="5"/>
    <x v="2"/>
    <n v="195"/>
    <n v="232"/>
    <n v="37"/>
    <n v="84.05"/>
    <x v="0"/>
    <n v="1659878"/>
    <n v="104254"/>
    <n v="1764132"/>
    <n v="934935"/>
    <n v="1599369"/>
    <n v="2534304"/>
    <n v="-770172"/>
    <n v="-0.4365727734659311"/>
    <n v="19"/>
    <s v="No"/>
    <n v="3.3"/>
    <s v="Good"/>
  </r>
  <r>
    <s v="6E1347"/>
    <d v="2025-04-27T00:00:00"/>
    <x v="0"/>
    <x v="6"/>
    <x v="3"/>
    <x v="3"/>
    <x v="0"/>
    <n v="63"/>
    <n v="78"/>
    <n v="15"/>
    <n v="80.77"/>
    <x v="0"/>
    <n v="224361"/>
    <n v="83070"/>
    <n v="307431"/>
    <n v="702180"/>
    <n v="1102518"/>
    <n v="1804698"/>
    <n v="-1497267"/>
    <n v="-4.8702538130507333"/>
    <n v="56"/>
    <s v="No"/>
    <n v="4"/>
    <s v="Excellent"/>
  </r>
  <r>
    <s v="6E1348"/>
    <d v="2025-05-26T00:00:00"/>
    <x v="0"/>
    <x v="0"/>
    <x v="2"/>
    <x v="2"/>
    <x v="1"/>
    <n v="133"/>
    <n v="180"/>
    <n v="47"/>
    <n v="73.89"/>
    <x v="0"/>
    <n v="588820"/>
    <n v="96800"/>
    <n v="685620"/>
    <n v="752115"/>
    <n v="1321273"/>
    <n v="2073388"/>
    <n v="-1387768"/>
    <n v="-2.0241066479974328"/>
    <n v="8"/>
    <s v="Yes"/>
    <n v="4.7"/>
    <s v="Excellent"/>
  </r>
  <r>
    <s v="6E1349"/>
    <d v="2025-11-03T00:00:00"/>
    <x v="0"/>
    <x v="8"/>
    <x v="8"/>
    <x v="8"/>
    <x v="1"/>
    <n v="113"/>
    <n v="180"/>
    <n v="67"/>
    <n v="62.78"/>
    <x v="0"/>
    <n v="911057"/>
    <n v="33054"/>
    <n v="944111"/>
    <n v="733723"/>
    <n v="1354582"/>
    <n v="2088305"/>
    <n v="-1144194"/>
    <n v="-1.2119274110777229"/>
    <n v="14"/>
    <s v="Yes"/>
    <n v="4"/>
    <s v="Excellent"/>
  </r>
  <r>
    <s v="6E1350"/>
    <d v="2025-02-18T00:00:00"/>
    <x v="0"/>
    <x v="11"/>
    <x v="8"/>
    <x v="8"/>
    <x v="1"/>
    <n v="149"/>
    <n v="180"/>
    <n v="31"/>
    <n v="82.78"/>
    <x v="0"/>
    <n v="550387"/>
    <n v="120834"/>
    <n v="671221"/>
    <n v="522360"/>
    <n v="663879"/>
    <n v="1186239"/>
    <n v="-515018"/>
    <n v="-0.76728529053769179"/>
    <n v="81"/>
    <s v="No"/>
    <n v="4.5"/>
    <s v="Excellent"/>
  </r>
  <r>
    <s v="6E1351"/>
    <d v="2025-08-17T00:00:00"/>
    <x v="0"/>
    <x v="9"/>
    <x v="6"/>
    <x v="6"/>
    <x v="0"/>
    <n v="69"/>
    <n v="78"/>
    <n v="9"/>
    <n v="88.46"/>
    <x v="1"/>
    <n v="363869"/>
    <n v="75226"/>
    <n v="439095"/>
    <n v="828150"/>
    <n v="1452138"/>
    <n v="2280288"/>
    <n v="-1841193"/>
    <n v="-4.1931541010487479"/>
    <n v="31"/>
    <s v="No"/>
    <n v="4.5999999999999996"/>
    <s v="Excellent"/>
  </r>
  <r>
    <s v="6E1352"/>
    <d v="2025-06-18T00:00:00"/>
    <x v="0"/>
    <x v="1"/>
    <x v="8"/>
    <x v="8"/>
    <x v="1"/>
    <n v="156"/>
    <n v="180"/>
    <n v="24"/>
    <n v="86.67"/>
    <x v="1"/>
    <n v="1242166"/>
    <n v="72626"/>
    <n v="1314792"/>
    <n v="341087"/>
    <n v="799620"/>
    <n v="1140707"/>
    <n v="174085"/>
    <n v="0.13240497356235814"/>
    <n v="15"/>
    <s v="Yes"/>
    <n v="3.5"/>
    <s v="Good"/>
  </r>
  <r>
    <s v="6E1353"/>
    <d v="2025-09-18T00:00:00"/>
    <x v="0"/>
    <x v="5"/>
    <x v="5"/>
    <x v="5"/>
    <x v="1"/>
    <n v="171"/>
    <n v="180"/>
    <n v="9"/>
    <n v="95"/>
    <x v="1"/>
    <n v="1025563"/>
    <n v="123793"/>
    <n v="1149356"/>
    <n v="1174426"/>
    <n v="1508241"/>
    <n v="2682667"/>
    <n v="-1533311"/>
    <n v="-1.3340609871963083"/>
    <n v="79"/>
    <s v="No"/>
    <n v="4.4000000000000004"/>
    <s v="Excellent"/>
  </r>
  <r>
    <s v="6E1354"/>
    <d v="2025-09-08T00:00:00"/>
    <x v="0"/>
    <x v="5"/>
    <x v="6"/>
    <x v="6"/>
    <x v="1"/>
    <n v="120"/>
    <n v="180"/>
    <n v="60"/>
    <n v="66.67"/>
    <x v="0"/>
    <n v="816244"/>
    <n v="139897"/>
    <n v="956141"/>
    <n v="1098070"/>
    <n v="1296308"/>
    <n v="2394378"/>
    <n v="-1438237"/>
    <n v="-1.5042101531050336"/>
    <n v="59"/>
    <s v="No"/>
    <n v="3.5"/>
    <s v="Good"/>
  </r>
  <r>
    <s v="6E1355"/>
    <d v="2025-08-27T00:00:00"/>
    <x v="0"/>
    <x v="9"/>
    <x v="8"/>
    <x v="8"/>
    <x v="1"/>
    <n v="159"/>
    <n v="180"/>
    <n v="21"/>
    <n v="88.33"/>
    <x v="1"/>
    <n v="966763"/>
    <n v="117141"/>
    <n v="1083904"/>
    <n v="756982"/>
    <n v="1405617"/>
    <n v="2162599"/>
    <n v="-1078695"/>
    <n v="-0.99519422384270195"/>
    <n v="69"/>
    <s v="No"/>
    <n v="4.5"/>
    <s v="Excellent"/>
  </r>
  <r>
    <s v="6E1356"/>
    <d v="2025-09-15T00:00:00"/>
    <x v="0"/>
    <x v="5"/>
    <x v="6"/>
    <x v="6"/>
    <x v="0"/>
    <n v="61"/>
    <n v="78"/>
    <n v="17"/>
    <n v="78.209999999999994"/>
    <x v="0"/>
    <n v="419937"/>
    <n v="60916"/>
    <n v="480853"/>
    <n v="413269"/>
    <n v="843508"/>
    <n v="1256777"/>
    <n v="-775924"/>
    <n v="-1.6136407592341111"/>
    <n v="29"/>
    <s v="No"/>
    <n v="4.7"/>
    <s v="Excellent"/>
  </r>
  <r>
    <s v="6E1357"/>
    <d v="2025-08-18T00:00:00"/>
    <x v="0"/>
    <x v="9"/>
    <x v="5"/>
    <x v="5"/>
    <x v="0"/>
    <n v="55"/>
    <n v="78"/>
    <n v="23"/>
    <n v="70.510000000000005"/>
    <x v="0"/>
    <n v="237213"/>
    <n v="141626"/>
    <n v="378839"/>
    <n v="498553"/>
    <n v="1188842"/>
    <n v="1687395"/>
    <n v="-1308556"/>
    <n v="-3.4541216717391823"/>
    <n v="83"/>
    <s v="No"/>
    <n v="3.3"/>
    <s v="Good"/>
  </r>
  <r>
    <s v="6E1358"/>
    <d v="2025-04-13T00:00:00"/>
    <x v="0"/>
    <x v="6"/>
    <x v="4"/>
    <x v="4"/>
    <x v="0"/>
    <n v="65"/>
    <n v="78"/>
    <n v="13"/>
    <n v="83.33"/>
    <x v="0"/>
    <n v="231143"/>
    <n v="36026"/>
    <n v="267169"/>
    <n v="513516"/>
    <n v="773919"/>
    <n v="1287435"/>
    <n v="-1020266"/>
    <n v="-3.8188038282884618"/>
    <n v="53"/>
    <s v="No"/>
    <n v="4.3"/>
    <s v="Excellent"/>
  </r>
  <r>
    <s v="6E1359"/>
    <d v="2025-02-17T00:00:00"/>
    <x v="0"/>
    <x v="11"/>
    <x v="3"/>
    <x v="3"/>
    <x v="2"/>
    <n v="146"/>
    <n v="232"/>
    <n v="86"/>
    <n v="62.93"/>
    <x v="0"/>
    <n v="599695"/>
    <n v="65442"/>
    <n v="665137"/>
    <n v="505613"/>
    <n v="739544"/>
    <n v="1245157"/>
    <n v="-580020"/>
    <n v="-0.87203087484232567"/>
    <n v="33"/>
    <s v="No"/>
    <n v="4.4000000000000004"/>
    <s v="Excellent"/>
  </r>
  <r>
    <s v="6E1360"/>
    <d v="2025-12-23T00:00:00"/>
    <x v="0"/>
    <x v="3"/>
    <x v="2"/>
    <x v="2"/>
    <x v="2"/>
    <n v="203"/>
    <n v="232"/>
    <n v="29"/>
    <n v="87.5"/>
    <x v="1"/>
    <n v="1538717"/>
    <n v="42137"/>
    <n v="1580854"/>
    <n v="980103"/>
    <n v="1292681"/>
    <n v="2272784"/>
    <n v="-691930"/>
    <n v="-0.4376938034758428"/>
    <n v="40"/>
    <s v="No"/>
    <n v="4.5"/>
    <s v="Excellent"/>
  </r>
  <r>
    <s v="6E1361"/>
    <d v="2025-08-01T00:00:00"/>
    <x v="0"/>
    <x v="9"/>
    <x v="8"/>
    <x v="8"/>
    <x v="0"/>
    <n v="57"/>
    <n v="78"/>
    <n v="21"/>
    <n v="73.08"/>
    <x v="0"/>
    <n v="366100"/>
    <n v="79000"/>
    <n v="445100"/>
    <n v="279995"/>
    <n v="948353"/>
    <n v="1228348"/>
    <n v="-783248"/>
    <n v="-1.7597124241743429"/>
    <n v="55"/>
    <s v="No"/>
    <n v="4.5"/>
    <s v="Excellent"/>
  </r>
  <r>
    <s v="6E1362"/>
    <d v="2025-12-24T00:00:00"/>
    <x v="0"/>
    <x v="3"/>
    <x v="5"/>
    <x v="5"/>
    <x v="2"/>
    <n v="216"/>
    <n v="232"/>
    <n v="16"/>
    <n v="93.1"/>
    <x v="1"/>
    <n v="1099834"/>
    <n v="15307"/>
    <n v="1115141"/>
    <n v="825439"/>
    <n v="1026977"/>
    <n v="1852416"/>
    <n v="-737275"/>
    <n v="-0.66114957660062723"/>
    <n v="37"/>
    <s v="No"/>
    <n v="3.8"/>
    <s v="Good"/>
  </r>
  <r>
    <s v="6E1363"/>
    <d v="2025-07-11T00:00:00"/>
    <x v="0"/>
    <x v="2"/>
    <x v="9"/>
    <x v="9"/>
    <x v="0"/>
    <n v="56"/>
    <n v="78"/>
    <n v="22"/>
    <n v="71.790000000000006"/>
    <x v="0"/>
    <n v="381408"/>
    <n v="32100"/>
    <n v="413508"/>
    <n v="449505"/>
    <n v="621391"/>
    <n v="1070896"/>
    <n v="-657388"/>
    <n v="-1.5897830271723885"/>
    <n v="23"/>
    <s v="No"/>
    <n v="4.7"/>
    <s v="Excellent"/>
  </r>
  <r>
    <s v="6E1364"/>
    <d v="2025-09-23T00:00:00"/>
    <x v="0"/>
    <x v="5"/>
    <x v="0"/>
    <x v="0"/>
    <x v="0"/>
    <n v="47"/>
    <n v="78"/>
    <n v="31"/>
    <n v="60.26"/>
    <x v="0"/>
    <n v="306973"/>
    <n v="75977"/>
    <n v="382950"/>
    <n v="432648"/>
    <n v="1130800"/>
    <n v="1563448"/>
    <n v="-1180498"/>
    <n v="-3.0826426426426425"/>
    <n v="60"/>
    <s v="No"/>
    <n v="3.2"/>
    <s v="Good"/>
  </r>
  <r>
    <s v="6E1365"/>
    <d v="2025-09-04T00:00:00"/>
    <x v="0"/>
    <x v="5"/>
    <x v="9"/>
    <x v="9"/>
    <x v="1"/>
    <n v="122"/>
    <n v="180"/>
    <n v="58"/>
    <n v="67.78"/>
    <x v="0"/>
    <n v="496321"/>
    <n v="53367"/>
    <n v="549688"/>
    <n v="475818"/>
    <n v="593968"/>
    <n v="1069786"/>
    <n v="-520098"/>
    <n v="-0.94616946340469499"/>
    <n v="76"/>
    <s v="No"/>
    <n v="4.3"/>
    <s v="Excellent"/>
  </r>
  <r>
    <s v="6E1366"/>
    <d v="2025-02-02T00:00:00"/>
    <x v="0"/>
    <x v="11"/>
    <x v="0"/>
    <x v="0"/>
    <x v="0"/>
    <n v="71"/>
    <n v="78"/>
    <n v="7"/>
    <n v="91.03"/>
    <x v="1"/>
    <n v="492090"/>
    <n v="96793"/>
    <n v="588883"/>
    <n v="684883"/>
    <n v="935176"/>
    <n v="1620059"/>
    <n v="-1031176"/>
    <n v="-1.7510710956166164"/>
    <n v="60"/>
    <s v="No"/>
    <n v="4.2"/>
    <s v="Excellent"/>
  </r>
  <r>
    <s v="6E1367"/>
    <d v="2025-11-30T00:00:00"/>
    <x v="0"/>
    <x v="8"/>
    <x v="1"/>
    <x v="1"/>
    <x v="0"/>
    <n v="73"/>
    <n v="78"/>
    <n v="5"/>
    <n v="93.59"/>
    <x v="1"/>
    <n v="359982"/>
    <n v="39678"/>
    <n v="399660"/>
    <n v="793320"/>
    <n v="1032342"/>
    <n v="1825662"/>
    <n v="-1426002"/>
    <n v="-3.5680378321573336"/>
    <n v="27"/>
    <s v="No"/>
    <n v="3.5"/>
    <s v="Good"/>
  </r>
  <r>
    <s v="6E1368"/>
    <d v="2025-10-27T00:00:00"/>
    <x v="0"/>
    <x v="7"/>
    <x v="4"/>
    <x v="4"/>
    <x v="2"/>
    <n v="225"/>
    <n v="232"/>
    <n v="7"/>
    <n v="96.98"/>
    <x v="1"/>
    <n v="847403"/>
    <n v="20835"/>
    <n v="868238"/>
    <n v="839744"/>
    <n v="1255103"/>
    <n v="2094847"/>
    <n v="-1226609"/>
    <n v="-1.4127566404603347"/>
    <n v="33"/>
    <s v="No"/>
    <n v="4.2"/>
    <s v="Excellent"/>
  </r>
  <r>
    <s v="6E1369"/>
    <d v="2025-02-17T00:00:00"/>
    <x v="0"/>
    <x v="11"/>
    <x v="6"/>
    <x v="6"/>
    <x v="2"/>
    <n v="205"/>
    <n v="232"/>
    <n v="27"/>
    <n v="88.36"/>
    <x v="1"/>
    <n v="1537061"/>
    <n v="42107"/>
    <n v="1579168"/>
    <n v="1160057"/>
    <n v="1500226"/>
    <n v="2660283"/>
    <n v="-1081115"/>
    <n v="-0.68461050375894139"/>
    <n v="81"/>
    <s v="No"/>
    <n v="4.2"/>
    <s v="Excellent"/>
  </r>
  <r>
    <s v="6E1370"/>
    <d v="2025-08-02T00:00:00"/>
    <x v="0"/>
    <x v="9"/>
    <x v="5"/>
    <x v="5"/>
    <x v="2"/>
    <n v="199"/>
    <n v="232"/>
    <n v="33"/>
    <n v="85.78"/>
    <x v="1"/>
    <n v="724856"/>
    <n v="95136"/>
    <n v="819992"/>
    <n v="595898"/>
    <n v="792421"/>
    <n v="1388319"/>
    <n v="-568327"/>
    <n v="-0.69308846915579669"/>
    <n v="40"/>
    <s v="No"/>
    <n v="3.3"/>
    <s v="Good"/>
  </r>
  <r>
    <s v="6E1371"/>
    <d v="2025-02-28T00:00:00"/>
    <x v="0"/>
    <x v="11"/>
    <x v="7"/>
    <x v="7"/>
    <x v="2"/>
    <n v="172"/>
    <n v="232"/>
    <n v="60"/>
    <n v="74.14"/>
    <x v="0"/>
    <n v="1112987"/>
    <n v="33031"/>
    <n v="1146018"/>
    <n v="887283"/>
    <n v="1310908"/>
    <n v="2198191"/>
    <n v="-1052173"/>
    <n v="-0.91811210644160912"/>
    <n v="1"/>
    <s v="Yes"/>
    <n v="3.7"/>
    <s v="Good"/>
  </r>
  <r>
    <s v="6E1372"/>
    <d v="2025-10-24T00:00:00"/>
    <x v="0"/>
    <x v="7"/>
    <x v="8"/>
    <x v="8"/>
    <x v="2"/>
    <n v="209"/>
    <n v="232"/>
    <n v="23"/>
    <n v="90.09"/>
    <x v="1"/>
    <n v="744075"/>
    <n v="121137"/>
    <n v="865212"/>
    <n v="560872"/>
    <n v="1139440"/>
    <n v="1700312"/>
    <n v="-835100"/>
    <n v="-0.96519696906654096"/>
    <n v="34"/>
    <s v="No"/>
    <n v="4.0999999999999996"/>
    <s v="Excellent"/>
  </r>
  <r>
    <s v="6E1373"/>
    <d v="2025-12-16T00:00:00"/>
    <x v="0"/>
    <x v="3"/>
    <x v="2"/>
    <x v="2"/>
    <x v="0"/>
    <n v="52"/>
    <n v="78"/>
    <n v="26"/>
    <n v="66.67"/>
    <x v="0"/>
    <n v="396455"/>
    <n v="61000"/>
    <n v="457455"/>
    <n v="824327"/>
    <n v="1472226"/>
    <n v="2296553"/>
    <n v="-1839098"/>
    <n v="-4.0202817763495862"/>
    <n v="69"/>
    <s v="No"/>
    <n v="4.5999999999999996"/>
    <s v="Excellent"/>
  </r>
  <r>
    <s v="6E1374"/>
    <d v="2025-04-14T00:00:00"/>
    <x v="0"/>
    <x v="6"/>
    <x v="4"/>
    <x v="4"/>
    <x v="1"/>
    <n v="123"/>
    <n v="180"/>
    <n v="57"/>
    <n v="68.33"/>
    <x v="0"/>
    <n v="979607"/>
    <n v="48732"/>
    <n v="1028339"/>
    <n v="1147182"/>
    <n v="1488466"/>
    <n v="2635648"/>
    <n v="-1607309"/>
    <n v="-1.5630147256887077"/>
    <n v="25"/>
    <s v="No"/>
    <n v="4.4000000000000004"/>
    <s v="Excellent"/>
  </r>
  <r>
    <s v="6E1375"/>
    <d v="2025-06-07T00:00:00"/>
    <x v="0"/>
    <x v="1"/>
    <x v="7"/>
    <x v="7"/>
    <x v="1"/>
    <n v="156"/>
    <n v="180"/>
    <n v="24"/>
    <n v="86.67"/>
    <x v="1"/>
    <n v="1297429"/>
    <n v="49092"/>
    <n v="1346521"/>
    <n v="778655"/>
    <n v="946659"/>
    <n v="1725314"/>
    <n v="-378793"/>
    <n v="-0.28131235977753039"/>
    <n v="81"/>
    <s v="No"/>
    <n v="4.2"/>
    <s v="Excellent"/>
  </r>
  <r>
    <s v="6E1376"/>
    <d v="2025-08-22T00:00:00"/>
    <x v="0"/>
    <x v="9"/>
    <x v="2"/>
    <x v="2"/>
    <x v="1"/>
    <n v="143"/>
    <n v="180"/>
    <n v="37"/>
    <n v="79.44"/>
    <x v="0"/>
    <n v="907869"/>
    <n v="88745"/>
    <n v="996614"/>
    <n v="1159806"/>
    <n v="1838304"/>
    <n v="2998110"/>
    <n v="-2001496"/>
    <n v="-2.008296090562645"/>
    <n v="60"/>
    <s v="No"/>
    <n v="4.7"/>
    <s v="Excellent"/>
  </r>
  <r>
    <s v="6E1377"/>
    <d v="2025-10-10T00:00:00"/>
    <x v="0"/>
    <x v="7"/>
    <x v="1"/>
    <x v="1"/>
    <x v="0"/>
    <n v="70"/>
    <n v="78"/>
    <n v="8"/>
    <n v="89.74"/>
    <x v="1"/>
    <n v="281677"/>
    <n v="137116"/>
    <n v="418793"/>
    <n v="266606"/>
    <n v="797226"/>
    <n v="1063832"/>
    <n v="-645039"/>
    <n v="-1.5402334805023006"/>
    <n v="68"/>
    <s v="No"/>
    <n v="3.8"/>
    <s v="Good"/>
  </r>
  <r>
    <s v="6E1378"/>
    <d v="2025-03-02T00:00:00"/>
    <x v="0"/>
    <x v="4"/>
    <x v="9"/>
    <x v="9"/>
    <x v="2"/>
    <n v="155"/>
    <n v="232"/>
    <n v="77"/>
    <n v="66.81"/>
    <x v="0"/>
    <n v="641867"/>
    <n v="129139"/>
    <n v="771006"/>
    <n v="516962"/>
    <n v="826664"/>
    <n v="1343626"/>
    <n v="-572620"/>
    <n v="-0.74269201536693619"/>
    <n v="6"/>
    <s v="Yes"/>
    <n v="4.0999999999999996"/>
    <s v="Excellent"/>
  </r>
  <r>
    <s v="6E1379"/>
    <d v="2025-12-31T00:00:00"/>
    <x v="0"/>
    <x v="3"/>
    <x v="6"/>
    <x v="6"/>
    <x v="2"/>
    <n v="213"/>
    <n v="232"/>
    <n v="19"/>
    <n v="91.81"/>
    <x v="1"/>
    <n v="1736137"/>
    <n v="142025"/>
    <n v="1878162"/>
    <n v="737302"/>
    <n v="922102"/>
    <n v="1659404"/>
    <n v="218758"/>
    <n v="0.11647451071845773"/>
    <n v="6"/>
    <s v="Yes"/>
    <n v="4.5"/>
    <s v="Excellent"/>
  </r>
  <r>
    <s v="6E1380"/>
    <d v="2025-05-15T00:00:00"/>
    <x v="0"/>
    <x v="0"/>
    <x v="3"/>
    <x v="3"/>
    <x v="0"/>
    <n v="55"/>
    <n v="78"/>
    <n v="23"/>
    <n v="70.510000000000005"/>
    <x v="0"/>
    <n v="223175"/>
    <n v="82412"/>
    <n v="305587"/>
    <n v="502969"/>
    <n v="1075226"/>
    <n v="1578195"/>
    <n v="-1272608"/>
    <n v="-4.1644703472333573"/>
    <n v="61"/>
    <s v="No"/>
    <n v="3.7"/>
    <s v="Good"/>
  </r>
  <r>
    <s v="6E1381"/>
    <d v="2025-11-15T00:00:00"/>
    <x v="0"/>
    <x v="8"/>
    <x v="7"/>
    <x v="7"/>
    <x v="2"/>
    <n v="204"/>
    <n v="232"/>
    <n v="28"/>
    <n v="87.93"/>
    <x v="1"/>
    <n v="1396327"/>
    <n v="124575"/>
    <n v="1520902"/>
    <n v="750615"/>
    <n v="1164058"/>
    <n v="1914673"/>
    <n v="-393771"/>
    <n v="-0.25890622801469126"/>
    <n v="53"/>
    <s v="No"/>
    <n v="3.5"/>
    <s v="Good"/>
  </r>
  <r>
    <s v="6E1382"/>
    <d v="2025-12-22T00:00:00"/>
    <x v="0"/>
    <x v="3"/>
    <x v="4"/>
    <x v="4"/>
    <x v="1"/>
    <n v="114"/>
    <n v="180"/>
    <n v="66"/>
    <n v="63.33"/>
    <x v="0"/>
    <n v="652413"/>
    <n v="16989"/>
    <n v="669402"/>
    <n v="335996"/>
    <n v="925677"/>
    <n v="1261673"/>
    <n v="-592271"/>
    <n v="-0.88477626299293999"/>
    <n v="52"/>
    <s v="No"/>
    <n v="3.6"/>
    <s v="Good"/>
  </r>
  <r>
    <s v="6E1383"/>
    <d v="2025-03-14T00:00:00"/>
    <x v="0"/>
    <x v="4"/>
    <x v="1"/>
    <x v="1"/>
    <x v="1"/>
    <n v="176"/>
    <n v="180"/>
    <n v="4"/>
    <n v="97.78"/>
    <x v="1"/>
    <n v="1085061"/>
    <n v="90685"/>
    <n v="1175746"/>
    <n v="754182"/>
    <n v="1234193"/>
    <n v="1988375"/>
    <n v="-812629"/>
    <n v="-0.69116033565072732"/>
    <n v="88"/>
    <s v="No"/>
    <n v="3.7"/>
    <s v="Good"/>
  </r>
  <r>
    <s v="6E1384"/>
    <d v="2025-03-14T00:00:00"/>
    <x v="0"/>
    <x v="4"/>
    <x v="4"/>
    <x v="4"/>
    <x v="0"/>
    <n v="75"/>
    <n v="78"/>
    <n v="3"/>
    <n v="96.15"/>
    <x v="1"/>
    <n v="616378"/>
    <n v="77337"/>
    <n v="693715"/>
    <n v="515066"/>
    <n v="758234"/>
    <n v="1273300"/>
    <n v="-579585"/>
    <n v="-0.8354799881795838"/>
    <n v="69"/>
    <s v="No"/>
    <n v="4.2"/>
    <s v="Excellent"/>
  </r>
  <r>
    <s v="6E1385"/>
    <d v="2025-02-26T00:00:00"/>
    <x v="0"/>
    <x v="11"/>
    <x v="4"/>
    <x v="4"/>
    <x v="1"/>
    <n v="175"/>
    <n v="180"/>
    <n v="5"/>
    <n v="97.22"/>
    <x v="1"/>
    <n v="892142"/>
    <n v="16482"/>
    <n v="908624"/>
    <n v="621626"/>
    <n v="975002"/>
    <n v="1596628"/>
    <n v="-688004"/>
    <n v="-0.75719329447604289"/>
    <n v="27"/>
    <s v="No"/>
    <n v="4.0999999999999996"/>
    <s v="Excellent"/>
  </r>
  <r>
    <s v="6E1386"/>
    <d v="2025-09-01T00:00:00"/>
    <x v="0"/>
    <x v="5"/>
    <x v="3"/>
    <x v="3"/>
    <x v="0"/>
    <n v="48"/>
    <n v="78"/>
    <n v="30"/>
    <n v="61.54"/>
    <x v="0"/>
    <n v="223666"/>
    <n v="78086"/>
    <n v="301752"/>
    <n v="347730"/>
    <n v="961675"/>
    <n v="1309405"/>
    <n v="-1007653"/>
    <n v="-3.3393415785148068"/>
    <n v="83"/>
    <s v="No"/>
    <n v="4.5999999999999996"/>
    <s v="Excellent"/>
  </r>
  <r>
    <s v="6E1387"/>
    <d v="2025-01-19T00:00:00"/>
    <x v="0"/>
    <x v="10"/>
    <x v="3"/>
    <x v="3"/>
    <x v="2"/>
    <n v="158"/>
    <n v="232"/>
    <n v="74"/>
    <n v="68.099999999999994"/>
    <x v="0"/>
    <n v="1372790"/>
    <n v="104445"/>
    <n v="1477235"/>
    <n v="346022"/>
    <n v="893022"/>
    <n v="1239044"/>
    <n v="238191"/>
    <n v="0.16124110246507833"/>
    <n v="74"/>
    <s v="No"/>
    <n v="4.0999999999999996"/>
    <s v="Excellent"/>
  </r>
  <r>
    <s v="6E1388"/>
    <d v="2025-06-16T00:00:00"/>
    <x v="0"/>
    <x v="1"/>
    <x v="7"/>
    <x v="7"/>
    <x v="2"/>
    <n v="146"/>
    <n v="232"/>
    <n v="86"/>
    <n v="62.93"/>
    <x v="0"/>
    <n v="632309"/>
    <n v="23460"/>
    <n v="655769"/>
    <n v="809757"/>
    <n v="1497325"/>
    <n v="2307082"/>
    <n v="-1651313"/>
    <n v="-2.5181321471432776"/>
    <n v="14"/>
    <s v="Yes"/>
    <n v="4.4000000000000004"/>
    <s v="Excellent"/>
  </r>
  <r>
    <s v="6E1389"/>
    <d v="2025-10-10T00:00:00"/>
    <x v="0"/>
    <x v="7"/>
    <x v="1"/>
    <x v="1"/>
    <x v="0"/>
    <n v="50"/>
    <n v="78"/>
    <n v="28"/>
    <n v="64.099999999999994"/>
    <x v="0"/>
    <n v="371853"/>
    <n v="139240"/>
    <n v="511093"/>
    <n v="535962"/>
    <n v="668208"/>
    <n v="1204170"/>
    <n v="-693077"/>
    <n v="-1.3560682693756323"/>
    <n v="17"/>
    <s v="No"/>
    <n v="4.8"/>
    <s v="Excellent"/>
  </r>
  <r>
    <s v="6E1390"/>
    <d v="2025-06-25T00:00:00"/>
    <x v="0"/>
    <x v="1"/>
    <x v="7"/>
    <x v="7"/>
    <x v="2"/>
    <n v="202"/>
    <n v="232"/>
    <n v="30"/>
    <n v="87.07"/>
    <x v="1"/>
    <n v="1425015"/>
    <n v="108352"/>
    <n v="1533367"/>
    <n v="788856"/>
    <n v="1266843"/>
    <n v="2055699"/>
    <n v="-522332"/>
    <n v="-0.34064382499427731"/>
    <n v="83"/>
    <s v="No"/>
    <n v="3.5"/>
    <s v="Good"/>
  </r>
  <r>
    <s v="6E1391"/>
    <d v="2025-12-24T00:00:00"/>
    <x v="0"/>
    <x v="3"/>
    <x v="6"/>
    <x v="6"/>
    <x v="0"/>
    <n v="53"/>
    <n v="78"/>
    <n v="25"/>
    <n v="67.95"/>
    <x v="0"/>
    <n v="242396"/>
    <n v="61795"/>
    <n v="304191"/>
    <n v="1085016"/>
    <n v="1431956"/>
    <n v="2516972"/>
    <n v="-2212781"/>
    <n v="-7.2743144931967088"/>
    <n v="29"/>
    <s v="No"/>
    <n v="3.7"/>
    <s v="Good"/>
  </r>
  <r>
    <s v="6E1392"/>
    <d v="2025-02-05T00:00:00"/>
    <x v="0"/>
    <x v="11"/>
    <x v="7"/>
    <x v="7"/>
    <x v="0"/>
    <n v="46"/>
    <n v="78"/>
    <n v="32"/>
    <n v="58.97"/>
    <x v="2"/>
    <n v="214598"/>
    <n v="87207"/>
    <n v="301805"/>
    <n v="475953"/>
    <n v="1056060"/>
    <n v="1532013"/>
    <n v="-1230208"/>
    <n v="-4.0761683868723182"/>
    <n v="55"/>
    <s v="No"/>
    <n v="4.3"/>
    <s v="Excellent"/>
  </r>
  <r>
    <s v="6E1393"/>
    <d v="2025-11-27T00:00:00"/>
    <x v="0"/>
    <x v="8"/>
    <x v="0"/>
    <x v="0"/>
    <x v="0"/>
    <n v="54"/>
    <n v="78"/>
    <n v="24"/>
    <n v="69.23"/>
    <x v="0"/>
    <n v="436638"/>
    <n v="137004"/>
    <n v="573642"/>
    <n v="815103"/>
    <n v="915419"/>
    <n v="1730522"/>
    <n v="-1156880"/>
    <n v="-2.0167282033045"/>
    <n v="65"/>
    <s v="No"/>
    <n v="4.7"/>
    <s v="Excellent"/>
  </r>
  <r>
    <s v="6E1394"/>
    <d v="2025-04-04T00:00:00"/>
    <x v="0"/>
    <x v="6"/>
    <x v="9"/>
    <x v="9"/>
    <x v="2"/>
    <n v="195"/>
    <n v="232"/>
    <n v="37"/>
    <n v="84.05"/>
    <x v="0"/>
    <n v="1434615"/>
    <n v="40556"/>
    <n v="1475171"/>
    <n v="1011402"/>
    <n v="1586379"/>
    <n v="2597781"/>
    <n v="-1122610"/>
    <n v="-0.76100330063429933"/>
    <n v="82"/>
    <s v="No"/>
    <n v="3.9"/>
    <s v="Good"/>
  </r>
  <r>
    <s v="6E1395"/>
    <d v="2025-10-15T00:00:00"/>
    <x v="0"/>
    <x v="7"/>
    <x v="2"/>
    <x v="2"/>
    <x v="2"/>
    <n v="140"/>
    <n v="232"/>
    <n v="92"/>
    <n v="60.34"/>
    <x v="0"/>
    <n v="1053532"/>
    <n v="112467"/>
    <n v="1165999"/>
    <n v="656549"/>
    <n v="1283495"/>
    <n v="1940044"/>
    <n v="-774045"/>
    <n v="-0.66384705304206948"/>
    <n v="20"/>
    <s v="No"/>
    <n v="4.0999999999999996"/>
    <s v="Excellent"/>
  </r>
  <r>
    <s v="6E1396"/>
    <d v="2025-07-08T00:00:00"/>
    <x v="0"/>
    <x v="2"/>
    <x v="3"/>
    <x v="3"/>
    <x v="2"/>
    <n v="224"/>
    <n v="232"/>
    <n v="8"/>
    <n v="96.55"/>
    <x v="1"/>
    <n v="1267396"/>
    <n v="79622"/>
    <n v="1347018"/>
    <n v="794502"/>
    <n v="1270848"/>
    <n v="2065350"/>
    <n v="-718332"/>
    <n v="-0.53327572460056216"/>
    <n v="15"/>
    <s v="Yes"/>
    <n v="3.7"/>
    <s v="Good"/>
  </r>
  <r>
    <s v="6E1397"/>
    <d v="2025-11-25T00:00:00"/>
    <x v="0"/>
    <x v="8"/>
    <x v="1"/>
    <x v="1"/>
    <x v="2"/>
    <n v="217"/>
    <n v="232"/>
    <n v="15"/>
    <n v="93.53"/>
    <x v="1"/>
    <n v="1833382"/>
    <n v="132087"/>
    <n v="1965469"/>
    <n v="647661"/>
    <n v="1289872"/>
    <n v="1937533"/>
    <n v="27936"/>
    <n v="1.421340148331009E-2"/>
    <n v="89"/>
    <s v="No"/>
    <n v="3.8"/>
    <s v="Good"/>
  </r>
  <r>
    <s v="6E1398"/>
    <d v="2025-01-10T00:00:00"/>
    <x v="0"/>
    <x v="10"/>
    <x v="7"/>
    <x v="7"/>
    <x v="0"/>
    <n v="55"/>
    <n v="78"/>
    <n v="23"/>
    <n v="70.510000000000005"/>
    <x v="0"/>
    <n v="210135"/>
    <n v="91241"/>
    <n v="301376"/>
    <n v="639433"/>
    <n v="1179323"/>
    <n v="1818756"/>
    <n v="-1517380"/>
    <n v="-5.0348401996177534"/>
    <n v="16"/>
    <s v="No"/>
    <n v="4.3"/>
    <s v="Excellent"/>
  </r>
  <r>
    <s v="6E1399"/>
    <d v="2025-08-30T00:00:00"/>
    <x v="0"/>
    <x v="9"/>
    <x v="6"/>
    <x v="6"/>
    <x v="1"/>
    <n v="113"/>
    <n v="180"/>
    <n v="67"/>
    <n v="62.78"/>
    <x v="0"/>
    <n v="922578"/>
    <n v="145591"/>
    <n v="1068169"/>
    <n v="1098048"/>
    <n v="1731264"/>
    <n v="2829312"/>
    <n v="-1761143"/>
    <n v="-1.6487494020141007"/>
    <n v="22"/>
    <s v="No"/>
    <n v="4.4000000000000004"/>
    <s v="Excellent"/>
  </r>
  <r>
    <s v="6E1400"/>
    <d v="2025-09-21T00:00:00"/>
    <x v="0"/>
    <x v="5"/>
    <x v="6"/>
    <x v="6"/>
    <x v="0"/>
    <n v="76"/>
    <n v="78"/>
    <n v="2"/>
    <n v="97.44"/>
    <x v="1"/>
    <n v="385689"/>
    <n v="51966"/>
    <n v="437655"/>
    <n v="822540"/>
    <n v="1366528"/>
    <n v="2189068"/>
    <n v="-1751413"/>
    <n v="-4.0018119294878387"/>
    <n v="80"/>
    <s v="No"/>
    <n v="4.5"/>
    <s v="Excellent"/>
  </r>
  <r>
    <s v="6E1401"/>
    <d v="2025-02-01T00:00:00"/>
    <x v="0"/>
    <x v="11"/>
    <x v="8"/>
    <x v="8"/>
    <x v="0"/>
    <n v="51"/>
    <n v="78"/>
    <n v="27"/>
    <n v="65.38"/>
    <x v="0"/>
    <n v="419568"/>
    <n v="139374"/>
    <n v="558942"/>
    <n v="1183147"/>
    <n v="1289086"/>
    <n v="2472233"/>
    <n v="-1913291"/>
    <n v="-3.4230582063970858"/>
    <n v="10"/>
    <s v="Yes"/>
    <n v="3.2"/>
    <s v="Good"/>
  </r>
  <r>
    <s v="6E1402"/>
    <d v="2025-06-26T00:00:00"/>
    <x v="0"/>
    <x v="1"/>
    <x v="5"/>
    <x v="5"/>
    <x v="0"/>
    <n v="65"/>
    <n v="78"/>
    <n v="13"/>
    <n v="83.33"/>
    <x v="0"/>
    <n v="284625"/>
    <n v="101363"/>
    <n v="385988"/>
    <n v="934140"/>
    <n v="1524738"/>
    <n v="2458878"/>
    <n v="-2072890"/>
    <n v="-5.3703483009834505"/>
    <n v="14"/>
    <s v="Yes"/>
    <n v="4"/>
    <s v="Excellent"/>
  </r>
  <r>
    <s v="6E1403"/>
    <d v="2025-11-10T00:00:00"/>
    <x v="0"/>
    <x v="8"/>
    <x v="0"/>
    <x v="0"/>
    <x v="1"/>
    <n v="146"/>
    <n v="180"/>
    <n v="34"/>
    <n v="81.11"/>
    <x v="0"/>
    <n v="1059593"/>
    <n v="110762"/>
    <n v="1170355"/>
    <n v="340416"/>
    <n v="536306"/>
    <n v="876722"/>
    <n v="293633"/>
    <n v="0.25089225064189924"/>
    <n v="76"/>
    <s v="No"/>
    <n v="3.9"/>
    <s v="Good"/>
  </r>
  <r>
    <s v="6E1404"/>
    <d v="2025-09-13T00:00:00"/>
    <x v="0"/>
    <x v="5"/>
    <x v="5"/>
    <x v="5"/>
    <x v="1"/>
    <n v="176"/>
    <n v="180"/>
    <n v="4"/>
    <n v="97.78"/>
    <x v="1"/>
    <n v="887331"/>
    <n v="113600"/>
    <n v="1000931"/>
    <n v="605402"/>
    <n v="1139632"/>
    <n v="1745034"/>
    <n v="-744103"/>
    <n v="-0.74341088446656167"/>
    <n v="55"/>
    <s v="No"/>
    <n v="3.8"/>
    <s v="Good"/>
  </r>
  <r>
    <s v="6E1405"/>
    <d v="2025-07-13T00:00:00"/>
    <x v="0"/>
    <x v="2"/>
    <x v="4"/>
    <x v="4"/>
    <x v="0"/>
    <n v="52"/>
    <n v="78"/>
    <n v="26"/>
    <n v="66.67"/>
    <x v="0"/>
    <n v="224766"/>
    <n v="78421"/>
    <n v="303187"/>
    <n v="995587"/>
    <n v="1322600"/>
    <n v="2318187"/>
    <n v="-2015000"/>
    <n v="-6.6460633206568884"/>
    <n v="61"/>
    <s v="No"/>
    <n v="4.4000000000000004"/>
    <s v="Excellent"/>
  </r>
  <r>
    <s v="6E1406"/>
    <d v="2025-02-20T00:00:00"/>
    <x v="0"/>
    <x v="11"/>
    <x v="9"/>
    <x v="9"/>
    <x v="2"/>
    <n v="165"/>
    <n v="232"/>
    <n v="67"/>
    <n v="71.12"/>
    <x v="0"/>
    <n v="625434"/>
    <n v="139019"/>
    <n v="764453"/>
    <n v="662201"/>
    <n v="988380"/>
    <n v="1650581"/>
    <n v="-886128"/>
    <n v="-1.1591660965422335"/>
    <n v="73"/>
    <s v="No"/>
    <n v="3.7"/>
    <s v="Good"/>
  </r>
  <r>
    <s v="6E1407"/>
    <d v="2025-12-28T00:00:00"/>
    <x v="0"/>
    <x v="3"/>
    <x v="9"/>
    <x v="9"/>
    <x v="1"/>
    <n v="108"/>
    <n v="180"/>
    <n v="72"/>
    <n v="60"/>
    <x v="0"/>
    <n v="408406"/>
    <n v="113913"/>
    <n v="522319"/>
    <n v="786282"/>
    <n v="1046216"/>
    <n v="1832498"/>
    <n v="-1310179"/>
    <n v="-2.5083885518236939"/>
    <n v="61"/>
    <s v="No"/>
    <n v="4.0999999999999996"/>
    <s v="Excellent"/>
  </r>
  <r>
    <s v="6E1408"/>
    <d v="2025-09-16T00:00:00"/>
    <x v="0"/>
    <x v="5"/>
    <x v="4"/>
    <x v="4"/>
    <x v="0"/>
    <n v="51"/>
    <n v="78"/>
    <n v="27"/>
    <n v="65.38"/>
    <x v="0"/>
    <n v="221814"/>
    <n v="84650"/>
    <n v="306464"/>
    <n v="1190709"/>
    <n v="1719332"/>
    <n v="2910041"/>
    <n v="-2603577"/>
    <n v="-8.495539443458286"/>
    <n v="16"/>
    <s v="No"/>
    <n v="3.3"/>
    <s v="Good"/>
  </r>
  <r>
    <s v="6E1409"/>
    <d v="2025-12-24T00:00:00"/>
    <x v="0"/>
    <x v="3"/>
    <x v="4"/>
    <x v="4"/>
    <x v="0"/>
    <n v="49"/>
    <n v="78"/>
    <n v="29"/>
    <n v="62.82"/>
    <x v="0"/>
    <n v="221171"/>
    <n v="88101"/>
    <n v="309272"/>
    <n v="641447"/>
    <n v="1055522"/>
    <n v="1696969"/>
    <n v="-1387697"/>
    <n v="-4.4869790993041727"/>
    <n v="36"/>
    <s v="No"/>
    <n v="3.6"/>
    <s v="Good"/>
  </r>
  <r>
    <s v="6E1410"/>
    <d v="2025-05-09T00:00:00"/>
    <x v="0"/>
    <x v="0"/>
    <x v="0"/>
    <x v="0"/>
    <x v="1"/>
    <n v="144"/>
    <n v="180"/>
    <n v="36"/>
    <n v="80"/>
    <x v="0"/>
    <n v="1229852"/>
    <n v="31879"/>
    <n v="1261731"/>
    <n v="1018152"/>
    <n v="1533989"/>
    <n v="2552141"/>
    <n v="-1290410"/>
    <n v="-1.0227298845792012"/>
    <n v="50"/>
    <s v="No"/>
    <n v="4.7"/>
    <s v="Excellent"/>
  </r>
  <r>
    <s v="6E1411"/>
    <d v="2025-05-10T00:00:00"/>
    <x v="0"/>
    <x v="0"/>
    <x v="7"/>
    <x v="7"/>
    <x v="0"/>
    <n v="70"/>
    <n v="78"/>
    <n v="8"/>
    <n v="89.74"/>
    <x v="1"/>
    <n v="550149"/>
    <n v="77320"/>
    <n v="627469"/>
    <n v="724318"/>
    <n v="1227830"/>
    <n v="1952148"/>
    <n v="-1324679"/>
    <n v="-2.1111465267606846"/>
    <n v="18"/>
    <s v="No"/>
    <n v="4.4000000000000004"/>
    <s v="Excellent"/>
  </r>
  <r>
    <s v="6E1412"/>
    <d v="2025-03-24T00:00:00"/>
    <x v="0"/>
    <x v="4"/>
    <x v="4"/>
    <x v="4"/>
    <x v="1"/>
    <n v="124"/>
    <n v="180"/>
    <n v="56"/>
    <n v="68.89"/>
    <x v="0"/>
    <n v="917492"/>
    <n v="111089"/>
    <n v="1028581"/>
    <n v="1068411"/>
    <n v="1308436"/>
    <n v="2376847"/>
    <n v="-1348266"/>
    <n v="-1.3108019689261226"/>
    <n v="81"/>
    <s v="No"/>
    <n v="4.7"/>
    <s v="Excellent"/>
  </r>
  <r>
    <s v="6E1413"/>
    <d v="2025-10-30T00:00:00"/>
    <x v="0"/>
    <x v="7"/>
    <x v="4"/>
    <x v="4"/>
    <x v="1"/>
    <n v="114"/>
    <n v="180"/>
    <n v="66"/>
    <n v="63.33"/>
    <x v="0"/>
    <n v="442539"/>
    <n v="124351"/>
    <n v="566890"/>
    <n v="406464"/>
    <n v="1004881"/>
    <n v="1411345"/>
    <n v="-844455"/>
    <n v="-1.4896276173508087"/>
    <n v="46"/>
    <s v="No"/>
    <n v="3.6"/>
    <s v="Good"/>
  </r>
  <r>
    <s v="6E1414"/>
    <d v="2025-10-10T00:00:00"/>
    <x v="0"/>
    <x v="7"/>
    <x v="5"/>
    <x v="5"/>
    <x v="1"/>
    <n v="133"/>
    <n v="180"/>
    <n v="47"/>
    <n v="73.89"/>
    <x v="0"/>
    <n v="665265"/>
    <n v="26982"/>
    <n v="692247"/>
    <n v="779446"/>
    <n v="1196667"/>
    <n v="1976113"/>
    <n v="-1283866"/>
    <n v="-1.8546357008408849"/>
    <n v="6"/>
    <s v="Yes"/>
    <n v="3.6"/>
    <s v="Good"/>
  </r>
  <r>
    <s v="6E1415"/>
    <d v="2025-07-31T00:00:00"/>
    <x v="0"/>
    <x v="2"/>
    <x v="8"/>
    <x v="8"/>
    <x v="2"/>
    <n v="141"/>
    <n v="232"/>
    <n v="91"/>
    <n v="60.78"/>
    <x v="0"/>
    <n v="1160778"/>
    <n v="107529"/>
    <n v="1268307"/>
    <n v="1063419"/>
    <n v="1571624"/>
    <n v="2635043"/>
    <n v="-1366736"/>
    <n v="-1.0776066047100583"/>
    <n v="4"/>
    <s v="Yes"/>
    <n v="3.3"/>
    <s v="Good"/>
  </r>
  <r>
    <s v="6E1416"/>
    <d v="2025-08-22T00:00:00"/>
    <x v="0"/>
    <x v="9"/>
    <x v="2"/>
    <x v="2"/>
    <x v="0"/>
    <n v="69"/>
    <n v="78"/>
    <n v="9"/>
    <n v="88.46"/>
    <x v="1"/>
    <n v="590635"/>
    <n v="27936"/>
    <n v="618571"/>
    <n v="1123814"/>
    <n v="1596513"/>
    <n v="2720327"/>
    <n v="-2101756"/>
    <n v="-3.397760321773895"/>
    <n v="73"/>
    <s v="No"/>
    <n v="4.2"/>
    <s v="Excellent"/>
  </r>
  <r>
    <s v="6E1417"/>
    <d v="2025-06-24T00:00:00"/>
    <x v="0"/>
    <x v="1"/>
    <x v="8"/>
    <x v="8"/>
    <x v="1"/>
    <n v="122"/>
    <n v="180"/>
    <n v="58"/>
    <n v="67.78"/>
    <x v="0"/>
    <n v="907633"/>
    <n v="98208"/>
    <n v="1005841"/>
    <n v="507286"/>
    <n v="806974"/>
    <n v="1314260"/>
    <n v="-308419"/>
    <n v="-0.30662798593415858"/>
    <n v="38"/>
    <s v="No"/>
    <n v="3.4"/>
    <s v="Good"/>
  </r>
  <r>
    <s v="6E1418"/>
    <d v="2025-11-10T00:00:00"/>
    <x v="0"/>
    <x v="8"/>
    <x v="2"/>
    <x v="2"/>
    <x v="2"/>
    <n v="161"/>
    <n v="232"/>
    <n v="71"/>
    <n v="69.400000000000006"/>
    <x v="0"/>
    <n v="897414"/>
    <n v="64013"/>
    <n v="961427"/>
    <n v="359074"/>
    <n v="820684"/>
    <n v="1179758"/>
    <n v="-218331"/>
    <n v="-0.22709056433821809"/>
    <n v="55"/>
    <s v="No"/>
    <n v="3.8"/>
    <s v="Good"/>
  </r>
  <r>
    <s v="6E1419"/>
    <d v="2025-03-05T00:00:00"/>
    <x v="0"/>
    <x v="4"/>
    <x v="0"/>
    <x v="0"/>
    <x v="0"/>
    <n v="49"/>
    <n v="78"/>
    <n v="29"/>
    <n v="62.82"/>
    <x v="0"/>
    <n v="294621"/>
    <n v="140274"/>
    <n v="434895"/>
    <n v="971937"/>
    <n v="1107614"/>
    <n v="2079551"/>
    <n v="-1644656"/>
    <n v="-3.7817312224789892"/>
    <n v="40"/>
    <s v="No"/>
    <n v="3.8"/>
    <s v="Good"/>
  </r>
  <r>
    <s v="6E1420"/>
    <d v="2025-07-07T00:00:00"/>
    <x v="0"/>
    <x v="2"/>
    <x v="7"/>
    <x v="7"/>
    <x v="1"/>
    <n v="135"/>
    <n v="180"/>
    <n v="45"/>
    <n v="75"/>
    <x v="0"/>
    <n v="542718"/>
    <n v="90968"/>
    <n v="633686"/>
    <n v="616097"/>
    <n v="808128"/>
    <n v="1424225"/>
    <n v="-790539"/>
    <n v="-1.2475247993485732"/>
    <n v="49"/>
    <s v="No"/>
    <n v="3.9"/>
    <s v="Good"/>
  </r>
  <r>
    <s v="6E1421"/>
    <d v="2025-05-03T00:00:00"/>
    <x v="0"/>
    <x v="0"/>
    <x v="0"/>
    <x v="0"/>
    <x v="0"/>
    <n v="52"/>
    <n v="78"/>
    <n v="26"/>
    <n v="66.67"/>
    <x v="0"/>
    <n v="232550"/>
    <n v="69451"/>
    <n v="302001"/>
    <n v="445714"/>
    <n v="1057901"/>
    <n v="1503615"/>
    <n v="-1201614"/>
    <n v="-3.9788411296651334"/>
    <n v="46"/>
    <s v="No"/>
    <n v="3.4"/>
    <s v="Good"/>
  </r>
  <r>
    <s v="6E1422"/>
    <d v="2025-06-10T00:00:00"/>
    <x v="0"/>
    <x v="1"/>
    <x v="8"/>
    <x v="8"/>
    <x v="1"/>
    <n v="170"/>
    <n v="180"/>
    <n v="10"/>
    <n v="94.44"/>
    <x v="1"/>
    <n v="1367122"/>
    <n v="47095"/>
    <n v="1414217"/>
    <n v="773735"/>
    <n v="1014895"/>
    <n v="1788630"/>
    <n v="-374413"/>
    <n v="-0.26474932771986193"/>
    <n v="22"/>
    <s v="No"/>
    <n v="3.2"/>
    <s v="Good"/>
  </r>
  <r>
    <s v="6E1423"/>
    <d v="2025-07-19T00:00:00"/>
    <x v="0"/>
    <x v="2"/>
    <x v="9"/>
    <x v="9"/>
    <x v="1"/>
    <n v="166"/>
    <n v="180"/>
    <n v="14"/>
    <n v="92.22"/>
    <x v="1"/>
    <n v="695559"/>
    <n v="135885"/>
    <n v="831444"/>
    <n v="318240"/>
    <n v="764364"/>
    <n v="1082604"/>
    <n v="-251160"/>
    <n v="-0.30207686867666372"/>
    <n v="39"/>
    <s v="No"/>
    <n v="4.8"/>
    <s v="Excellent"/>
  </r>
  <r>
    <s v="6E1424"/>
    <d v="2025-09-14T00:00:00"/>
    <x v="0"/>
    <x v="5"/>
    <x v="1"/>
    <x v="1"/>
    <x v="2"/>
    <n v="151"/>
    <n v="232"/>
    <n v="81"/>
    <n v="65.09"/>
    <x v="0"/>
    <n v="1242147"/>
    <n v="67345"/>
    <n v="1309492"/>
    <n v="376758"/>
    <n v="860795"/>
    <n v="1237553"/>
    <n v="71939"/>
    <n v="5.4936570822883987E-2"/>
    <n v="76"/>
    <s v="No"/>
    <n v="4.0999999999999996"/>
    <s v="Excellent"/>
  </r>
  <r>
    <s v="6E1425"/>
    <d v="2025-03-25T00:00:00"/>
    <x v="0"/>
    <x v="4"/>
    <x v="2"/>
    <x v="2"/>
    <x v="0"/>
    <n v="68"/>
    <n v="78"/>
    <n v="10"/>
    <n v="87.18"/>
    <x v="1"/>
    <n v="388534"/>
    <n v="106642"/>
    <n v="495176"/>
    <n v="665711"/>
    <n v="1197839"/>
    <n v="1863550"/>
    <n v="-1368374"/>
    <n v="-2.7634093736368484"/>
    <n v="69"/>
    <s v="No"/>
    <n v="3.8"/>
    <s v="Good"/>
  </r>
  <r>
    <s v="6E1426"/>
    <d v="2025-06-23T00:00:00"/>
    <x v="0"/>
    <x v="1"/>
    <x v="1"/>
    <x v="1"/>
    <x v="1"/>
    <n v="164"/>
    <n v="180"/>
    <n v="16"/>
    <n v="91.11"/>
    <x v="1"/>
    <n v="741832"/>
    <n v="115056"/>
    <n v="856888"/>
    <n v="1059127"/>
    <n v="1398098"/>
    <n v="2457225"/>
    <n v="-1600337"/>
    <n v="-1.86761513756757"/>
    <n v="31"/>
    <s v="No"/>
    <n v="4.7"/>
    <s v="Excellent"/>
  </r>
  <r>
    <s v="6E1427"/>
    <d v="2025-02-15T00:00:00"/>
    <x v="0"/>
    <x v="11"/>
    <x v="9"/>
    <x v="9"/>
    <x v="2"/>
    <n v="171"/>
    <n v="232"/>
    <n v="61"/>
    <n v="73.709999999999994"/>
    <x v="0"/>
    <n v="1053630"/>
    <n v="122298"/>
    <n v="1175928"/>
    <n v="1050416"/>
    <n v="1578431"/>
    <n v="2628847"/>
    <n v="-1452919"/>
    <n v="-1.2355509861147962"/>
    <n v="87"/>
    <s v="No"/>
    <n v="4.3"/>
    <s v="Excellent"/>
  </r>
  <r>
    <s v="6E1428"/>
    <d v="2025-09-21T00:00:00"/>
    <x v="0"/>
    <x v="5"/>
    <x v="7"/>
    <x v="7"/>
    <x v="0"/>
    <n v="63"/>
    <n v="78"/>
    <n v="15"/>
    <n v="80.77"/>
    <x v="0"/>
    <n v="437624"/>
    <n v="56632"/>
    <n v="494256"/>
    <n v="468373"/>
    <n v="956175"/>
    <n v="1424548"/>
    <n v="-930292"/>
    <n v="-1.8822067916221554"/>
    <n v="70"/>
    <s v="No"/>
    <n v="4.7"/>
    <s v="Excellent"/>
  </r>
  <r>
    <s v="6E1429"/>
    <d v="2025-12-30T00:00:00"/>
    <x v="0"/>
    <x v="3"/>
    <x v="8"/>
    <x v="8"/>
    <x v="2"/>
    <n v="219"/>
    <n v="232"/>
    <n v="13"/>
    <n v="94.4"/>
    <x v="1"/>
    <n v="858039"/>
    <n v="36529"/>
    <n v="894568"/>
    <n v="1086442"/>
    <n v="1553627"/>
    <n v="2640069"/>
    <n v="-1745501"/>
    <n v="-1.9512222659428908"/>
    <n v="81"/>
    <s v="No"/>
    <n v="3.4"/>
    <s v="Good"/>
  </r>
  <r>
    <s v="6E1430"/>
    <d v="2025-08-19T00:00:00"/>
    <x v="0"/>
    <x v="9"/>
    <x v="0"/>
    <x v="0"/>
    <x v="0"/>
    <n v="73"/>
    <n v="78"/>
    <n v="5"/>
    <n v="93.59"/>
    <x v="1"/>
    <n v="647651"/>
    <n v="140848"/>
    <n v="788499"/>
    <n v="545781"/>
    <n v="1178971"/>
    <n v="1724752"/>
    <n v="-936253"/>
    <n v="-1.1873864139333088"/>
    <n v="36"/>
    <s v="No"/>
    <n v="4.8"/>
    <s v="Excellent"/>
  </r>
  <r>
    <s v="6E1431"/>
    <d v="2025-09-22T00:00:00"/>
    <x v="0"/>
    <x v="5"/>
    <x v="8"/>
    <x v="8"/>
    <x v="0"/>
    <n v="47"/>
    <n v="78"/>
    <n v="31"/>
    <n v="60.26"/>
    <x v="0"/>
    <n v="214049"/>
    <n v="78825"/>
    <n v="292874"/>
    <n v="456906"/>
    <n v="747423"/>
    <n v="1204329"/>
    <n v="-911455"/>
    <n v="-3.1121062299828597"/>
    <n v="9"/>
    <s v="Yes"/>
    <n v="4"/>
    <s v="Excellent"/>
  </r>
  <r>
    <s v="6E1432"/>
    <d v="2025-07-21T00:00:00"/>
    <x v="0"/>
    <x v="2"/>
    <x v="8"/>
    <x v="8"/>
    <x v="1"/>
    <n v="109"/>
    <n v="180"/>
    <n v="71"/>
    <n v="60.56"/>
    <x v="0"/>
    <n v="971317"/>
    <n v="130155"/>
    <n v="1101472"/>
    <n v="567962"/>
    <n v="1213246"/>
    <n v="1781208"/>
    <n v="-679736"/>
    <n v="-0.61711600476453332"/>
    <n v="75"/>
    <s v="No"/>
    <n v="4.7"/>
    <s v="Excellent"/>
  </r>
  <r>
    <s v="6E1433"/>
    <d v="2025-03-26T00:00:00"/>
    <x v="0"/>
    <x v="4"/>
    <x v="4"/>
    <x v="4"/>
    <x v="2"/>
    <n v="196"/>
    <n v="232"/>
    <n v="36"/>
    <n v="84.48"/>
    <x v="0"/>
    <n v="989233"/>
    <n v="86239"/>
    <n v="1075472"/>
    <n v="253251"/>
    <n v="364116"/>
    <n v="617367"/>
    <n v="458105"/>
    <n v="0.42595716113483195"/>
    <n v="35"/>
    <s v="No"/>
    <n v="3.3"/>
    <s v="Good"/>
  </r>
  <r>
    <s v="6E1434"/>
    <d v="2025-04-30T00:00:00"/>
    <x v="0"/>
    <x v="6"/>
    <x v="7"/>
    <x v="7"/>
    <x v="0"/>
    <n v="57"/>
    <n v="78"/>
    <n v="21"/>
    <n v="73.08"/>
    <x v="0"/>
    <n v="404917"/>
    <n v="124230"/>
    <n v="529147"/>
    <n v="1150889"/>
    <n v="1370928"/>
    <n v="2521817"/>
    <n v="-1992670"/>
    <n v="-3.7658155484203824"/>
    <n v="30"/>
    <s v="No"/>
    <n v="4"/>
    <s v="Excellent"/>
  </r>
  <r>
    <s v="6E1435"/>
    <d v="2025-01-09T00:00:00"/>
    <x v="0"/>
    <x v="10"/>
    <x v="0"/>
    <x v="0"/>
    <x v="0"/>
    <n v="59"/>
    <n v="78"/>
    <n v="19"/>
    <n v="75.64"/>
    <x v="0"/>
    <n v="235754"/>
    <n v="46465"/>
    <n v="282219"/>
    <n v="1009663"/>
    <n v="1363725"/>
    <n v="2373388"/>
    <n v="-2091169"/>
    <n v="-7.4097385363848645"/>
    <n v="49"/>
    <s v="No"/>
    <n v="4.9000000000000004"/>
    <s v="Excellent"/>
  </r>
  <r>
    <s v="6E1436"/>
    <d v="2025-09-05T00:00:00"/>
    <x v="0"/>
    <x v="5"/>
    <x v="3"/>
    <x v="3"/>
    <x v="1"/>
    <n v="150"/>
    <n v="180"/>
    <n v="30"/>
    <n v="83.33"/>
    <x v="0"/>
    <n v="1104335"/>
    <n v="18995"/>
    <n v="1123330"/>
    <n v="421277"/>
    <n v="812466"/>
    <n v="1233743"/>
    <n v="-110413"/>
    <n v="-9.8290796115122009E-2"/>
    <n v="58"/>
    <s v="No"/>
    <n v="3.2"/>
    <s v="Good"/>
  </r>
  <r>
    <s v="6E1437"/>
    <d v="2025-05-01T00:00:00"/>
    <x v="0"/>
    <x v="0"/>
    <x v="3"/>
    <x v="3"/>
    <x v="0"/>
    <n v="59"/>
    <n v="78"/>
    <n v="19"/>
    <n v="75.64"/>
    <x v="0"/>
    <n v="511750"/>
    <n v="42681"/>
    <n v="554431"/>
    <n v="490352"/>
    <n v="1102204"/>
    <n v="1592556"/>
    <n v="-1038125"/>
    <n v="-1.872415142731918"/>
    <n v="87"/>
    <s v="No"/>
    <n v="3.5"/>
    <s v="Good"/>
  </r>
  <r>
    <s v="6E1438"/>
    <d v="2025-08-19T00:00:00"/>
    <x v="0"/>
    <x v="9"/>
    <x v="5"/>
    <x v="5"/>
    <x v="1"/>
    <n v="119"/>
    <n v="180"/>
    <n v="61"/>
    <n v="66.11"/>
    <x v="0"/>
    <n v="974358"/>
    <n v="116117"/>
    <n v="1090475"/>
    <n v="617395"/>
    <n v="840572"/>
    <n v="1457967"/>
    <n v="-367492"/>
    <n v="-0.33700176528576997"/>
    <n v="41"/>
    <s v="No"/>
    <n v="4.3"/>
    <s v="Excellent"/>
  </r>
  <r>
    <s v="6E1439"/>
    <d v="2025-06-21T00:00:00"/>
    <x v="0"/>
    <x v="1"/>
    <x v="0"/>
    <x v="0"/>
    <x v="1"/>
    <n v="153"/>
    <n v="180"/>
    <n v="27"/>
    <n v="85"/>
    <x v="1"/>
    <n v="590719"/>
    <n v="129445"/>
    <n v="720164"/>
    <n v="689546"/>
    <n v="858497"/>
    <n v="1548043"/>
    <n v="-827879"/>
    <n v="-1.1495700979221399"/>
    <n v="46"/>
    <s v="No"/>
    <n v="3.7"/>
    <s v="Good"/>
  </r>
  <r>
    <s v="6E1440"/>
    <d v="2025-03-29T00:00:00"/>
    <x v="0"/>
    <x v="4"/>
    <x v="5"/>
    <x v="5"/>
    <x v="1"/>
    <n v="176"/>
    <n v="180"/>
    <n v="4"/>
    <n v="97.78"/>
    <x v="1"/>
    <n v="1529313"/>
    <n v="78327"/>
    <n v="1607640"/>
    <n v="585498"/>
    <n v="1194923"/>
    <n v="1780421"/>
    <n v="-172781"/>
    <n v="-0.10747493219875097"/>
    <n v="7"/>
    <s v="Yes"/>
    <n v="3.3"/>
    <s v="Good"/>
  </r>
  <r>
    <s v="6E1441"/>
    <d v="2025-11-11T00:00:00"/>
    <x v="0"/>
    <x v="8"/>
    <x v="0"/>
    <x v="0"/>
    <x v="1"/>
    <n v="110"/>
    <n v="180"/>
    <n v="70"/>
    <n v="61.11"/>
    <x v="0"/>
    <n v="840758"/>
    <n v="19251"/>
    <n v="860009"/>
    <n v="460777"/>
    <n v="725008"/>
    <n v="1185785"/>
    <n v="-325776"/>
    <n v="-0.37880533808367123"/>
    <n v="60"/>
    <s v="No"/>
    <n v="4.0999999999999996"/>
    <s v="Excellent"/>
  </r>
  <r>
    <s v="6E1442"/>
    <d v="2025-02-06T00:00:00"/>
    <x v="0"/>
    <x v="11"/>
    <x v="0"/>
    <x v="0"/>
    <x v="0"/>
    <n v="58"/>
    <n v="78"/>
    <n v="20"/>
    <n v="74.36"/>
    <x v="0"/>
    <n v="400665"/>
    <n v="103802"/>
    <n v="504467"/>
    <n v="922612"/>
    <n v="1039024"/>
    <n v="1961636"/>
    <n v="-1457169"/>
    <n v="-2.8885318563949673"/>
    <n v="82"/>
    <s v="No"/>
    <n v="3.2"/>
    <s v="Good"/>
  </r>
  <r>
    <s v="6E1443"/>
    <d v="2025-12-20T00:00:00"/>
    <x v="0"/>
    <x v="3"/>
    <x v="8"/>
    <x v="8"/>
    <x v="0"/>
    <n v="72"/>
    <n v="78"/>
    <n v="6"/>
    <n v="92.31"/>
    <x v="1"/>
    <n v="483379"/>
    <n v="127390"/>
    <n v="610769"/>
    <n v="386480"/>
    <n v="549823"/>
    <n v="936303"/>
    <n v="-325534"/>
    <n v="-0.5329903777041729"/>
    <n v="82"/>
    <s v="No"/>
    <n v="4.3"/>
    <s v="Excellent"/>
  </r>
  <r>
    <s v="6E1444"/>
    <d v="2025-04-02T00:00:00"/>
    <x v="0"/>
    <x v="6"/>
    <x v="3"/>
    <x v="3"/>
    <x v="0"/>
    <n v="50"/>
    <n v="78"/>
    <n v="28"/>
    <n v="64.099999999999994"/>
    <x v="0"/>
    <n v="245644"/>
    <n v="85404"/>
    <n v="331048"/>
    <n v="587159"/>
    <n v="1198398"/>
    <n v="1785557"/>
    <n v="-1454509"/>
    <n v="-4.3936498634639083"/>
    <n v="82"/>
    <s v="No"/>
    <n v="4.8"/>
    <s v="Excellent"/>
  </r>
  <r>
    <s v="6E1445"/>
    <d v="2025-02-27T00:00:00"/>
    <x v="0"/>
    <x v="11"/>
    <x v="2"/>
    <x v="2"/>
    <x v="2"/>
    <n v="143"/>
    <n v="232"/>
    <n v="89"/>
    <n v="61.64"/>
    <x v="0"/>
    <n v="584761"/>
    <n v="44070"/>
    <n v="628831"/>
    <n v="669072"/>
    <n v="990032"/>
    <n v="1659104"/>
    <n v="-1030273"/>
    <n v="-1.6383940995275361"/>
    <n v="48"/>
    <s v="No"/>
    <n v="4.3"/>
    <s v="Excellent"/>
  </r>
  <r>
    <s v="6E1446"/>
    <d v="2025-06-09T00:00:00"/>
    <x v="0"/>
    <x v="1"/>
    <x v="2"/>
    <x v="2"/>
    <x v="2"/>
    <n v="157"/>
    <n v="232"/>
    <n v="75"/>
    <n v="67.67"/>
    <x v="0"/>
    <n v="561906"/>
    <n v="40516"/>
    <n v="602422"/>
    <n v="278443"/>
    <n v="405827"/>
    <n v="684270"/>
    <n v="-81848"/>
    <n v="-0.13586489205241509"/>
    <n v="76"/>
    <s v="No"/>
    <n v="3.8"/>
    <s v="Good"/>
  </r>
  <r>
    <s v="6E1447"/>
    <d v="2025-08-27T00:00:00"/>
    <x v="0"/>
    <x v="9"/>
    <x v="9"/>
    <x v="9"/>
    <x v="1"/>
    <n v="172"/>
    <n v="180"/>
    <n v="8"/>
    <n v="95.56"/>
    <x v="1"/>
    <n v="1376384"/>
    <n v="114380"/>
    <n v="1490764"/>
    <n v="264458"/>
    <n v="531898"/>
    <n v="796356"/>
    <n v="694408"/>
    <n v="0.46580679436852512"/>
    <n v="83"/>
    <s v="No"/>
    <n v="3.5"/>
    <s v="Good"/>
  </r>
  <r>
    <s v="6E1448"/>
    <d v="2025-12-28T00:00:00"/>
    <x v="0"/>
    <x v="3"/>
    <x v="9"/>
    <x v="9"/>
    <x v="2"/>
    <n v="226"/>
    <n v="232"/>
    <n v="6"/>
    <n v="97.41"/>
    <x v="1"/>
    <n v="1081592"/>
    <n v="116453"/>
    <n v="1198045"/>
    <n v="1187576"/>
    <n v="1419292"/>
    <n v="2606868"/>
    <n v="-1408823"/>
    <n v="-1.1759349607068181"/>
    <n v="21"/>
    <s v="No"/>
    <n v="4.8"/>
    <s v="Excellent"/>
  </r>
  <r>
    <s v="6E1449"/>
    <d v="2025-01-20T00:00:00"/>
    <x v="0"/>
    <x v="10"/>
    <x v="3"/>
    <x v="3"/>
    <x v="0"/>
    <n v="64"/>
    <n v="78"/>
    <n v="14"/>
    <n v="82.05"/>
    <x v="0"/>
    <n v="327867"/>
    <n v="60780"/>
    <n v="388647"/>
    <n v="334402"/>
    <n v="438747"/>
    <n v="773149"/>
    <n v="-384502"/>
    <n v="-0.98933479481380271"/>
    <n v="2"/>
    <s v="Yes"/>
    <n v="4.7"/>
    <s v="Excellent"/>
  </r>
  <r>
    <s v="6E1450"/>
    <d v="2025-07-17T00:00:00"/>
    <x v="0"/>
    <x v="2"/>
    <x v="5"/>
    <x v="5"/>
    <x v="2"/>
    <n v="216"/>
    <n v="232"/>
    <n v="16"/>
    <n v="93.1"/>
    <x v="1"/>
    <n v="985603"/>
    <n v="76367"/>
    <n v="1061970"/>
    <n v="670332"/>
    <n v="1281153"/>
    <n v="1951485"/>
    <n v="-889515"/>
    <n v="-0.83760840701714734"/>
    <n v="72"/>
    <s v="No"/>
    <n v="3.4"/>
    <s v="Good"/>
  </r>
  <r>
    <s v="6E1451"/>
    <d v="2025-05-20T00:00:00"/>
    <x v="0"/>
    <x v="0"/>
    <x v="6"/>
    <x v="6"/>
    <x v="2"/>
    <n v="142"/>
    <n v="232"/>
    <n v="90"/>
    <n v="61.21"/>
    <x v="0"/>
    <n v="601145"/>
    <n v="86486"/>
    <n v="687631"/>
    <n v="918508"/>
    <n v="1420792"/>
    <n v="2339300"/>
    <n v="-1651669"/>
    <n v="-2.4019699519073456"/>
    <n v="90"/>
    <s v="No"/>
    <n v="3.8"/>
    <s v="Good"/>
  </r>
  <r>
    <s v="6E1452"/>
    <d v="2025-08-16T00:00:00"/>
    <x v="0"/>
    <x v="9"/>
    <x v="1"/>
    <x v="1"/>
    <x v="1"/>
    <n v="125"/>
    <n v="180"/>
    <n v="55"/>
    <n v="69.44"/>
    <x v="0"/>
    <n v="1106066"/>
    <n v="91095"/>
    <n v="1197161"/>
    <n v="846109"/>
    <n v="1506052"/>
    <n v="2352161"/>
    <n v="-1155000"/>
    <n v="-0.96478251463253484"/>
    <n v="15"/>
    <s v="Yes"/>
    <n v="3.8"/>
    <s v="Good"/>
  </r>
  <r>
    <s v="6E1453"/>
    <d v="2025-11-15T00:00:00"/>
    <x v="0"/>
    <x v="8"/>
    <x v="0"/>
    <x v="0"/>
    <x v="1"/>
    <n v="109"/>
    <n v="180"/>
    <n v="71"/>
    <n v="60.56"/>
    <x v="0"/>
    <n v="493794"/>
    <n v="96337"/>
    <n v="590131"/>
    <n v="1175883"/>
    <n v="1440108"/>
    <n v="2615991"/>
    <n v="-2025860"/>
    <n v="-3.4328987970467573"/>
    <n v="55"/>
    <s v="No"/>
    <n v="4.0999999999999996"/>
    <s v="Excellent"/>
  </r>
  <r>
    <s v="6E1454"/>
    <d v="2025-10-24T00:00:00"/>
    <x v="0"/>
    <x v="7"/>
    <x v="2"/>
    <x v="2"/>
    <x v="0"/>
    <n v="75"/>
    <n v="78"/>
    <n v="3"/>
    <n v="96.15"/>
    <x v="1"/>
    <n v="551497"/>
    <n v="52338"/>
    <n v="603835"/>
    <n v="1133991"/>
    <n v="1703968"/>
    <n v="2837959"/>
    <n v="-2234124"/>
    <n v="-3.6998915266587726"/>
    <n v="90"/>
    <s v="No"/>
    <n v="3.2"/>
    <s v="Good"/>
  </r>
  <r>
    <s v="6E1455"/>
    <d v="2025-09-30T00:00:00"/>
    <x v="0"/>
    <x v="5"/>
    <x v="5"/>
    <x v="5"/>
    <x v="2"/>
    <n v="221"/>
    <n v="232"/>
    <n v="11"/>
    <n v="95.26"/>
    <x v="1"/>
    <n v="1122523"/>
    <n v="83957"/>
    <n v="1206480"/>
    <n v="1005951"/>
    <n v="1426536"/>
    <n v="2432487"/>
    <n v="-1226007"/>
    <n v="-1.0161851004575293"/>
    <n v="28"/>
    <s v="No"/>
    <n v="4.5999999999999996"/>
    <s v="Excellent"/>
  </r>
  <r>
    <s v="6E1456"/>
    <d v="2025-02-22T00:00:00"/>
    <x v="0"/>
    <x v="11"/>
    <x v="5"/>
    <x v="5"/>
    <x v="2"/>
    <n v="151"/>
    <n v="232"/>
    <n v="81"/>
    <n v="65.09"/>
    <x v="0"/>
    <n v="705205"/>
    <n v="112711"/>
    <n v="817916"/>
    <n v="383713"/>
    <n v="871063"/>
    <n v="1254776"/>
    <n v="-436860"/>
    <n v="-0.53411352755050645"/>
    <n v="22"/>
    <s v="No"/>
    <n v="3.6"/>
    <s v="Good"/>
  </r>
  <r>
    <s v="6E1457"/>
    <d v="2025-05-06T00:00:00"/>
    <x v="0"/>
    <x v="0"/>
    <x v="9"/>
    <x v="9"/>
    <x v="2"/>
    <n v="221"/>
    <n v="232"/>
    <n v="11"/>
    <n v="95.26"/>
    <x v="1"/>
    <n v="1090797"/>
    <n v="68203"/>
    <n v="1159000"/>
    <n v="1128686"/>
    <n v="1267258"/>
    <n v="2395944"/>
    <n v="-1236944"/>
    <n v="-1.0672510785159621"/>
    <n v="44"/>
    <s v="No"/>
    <n v="4.7"/>
    <s v="Excellent"/>
  </r>
  <r>
    <s v="6E1458"/>
    <d v="2025-12-21T00:00:00"/>
    <x v="0"/>
    <x v="3"/>
    <x v="7"/>
    <x v="7"/>
    <x v="1"/>
    <n v="118"/>
    <n v="180"/>
    <n v="62"/>
    <n v="65.56"/>
    <x v="0"/>
    <n v="799634"/>
    <n v="130258"/>
    <n v="929892"/>
    <n v="1010519"/>
    <n v="1319956"/>
    <n v="2330475"/>
    <n v="-1400583"/>
    <n v="-1.5061781368158882"/>
    <n v="55"/>
    <s v="No"/>
    <n v="4.5999999999999996"/>
    <s v="Excellent"/>
  </r>
  <r>
    <s v="6E1459"/>
    <d v="2025-12-20T00:00:00"/>
    <x v="0"/>
    <x v="3"/>
    <x v="5"/>
    <x v="5"/>
    <x v="1"/>
    <n v="173"/>
    <n v="180"/>
    <n v="7"/>
    <n v="96.11"/>
    <x v="1"/>
    <n v="1135237"/>
    <n v="79615"/>
    <n v="1214852"/>
    <n v="1059090"/>
    <n v="1259808"/>
    <n v="2318898"/>
    <n v="-1104046"/>
    <n v="-0.90879053580189195"/>
    <n v="17"/>
    <s v="No"/>
    <n v="3.9"/>
    <s v="Good"/>
  </r>
  <r>
    <s v="6E1460"/>
    <d v="2025-09-13T00:00:00"/>
    <x v="0"/>
    <x v="5"/>
    <x v="9"/>
    <x v="9"/>
    <x v="2"/>
    <n v="212"/>
    <n v="232"/>
    <n v="20"/>
    <n v="91.38"/>
    <x v="1"/>
    <n v="1861170"/>
    <n v="95926"/>
    <n v="1957096"/>
    <n v="439940"/>
    <n v="542535"/>
    <n v="982475"/>
    <n v="974621"/>
    <n v="0.49799345560974012"/>
    <n v="89"/>
    <s v="No"/>
    <n v="4.7"/>
    <s v="Excellent"/>
  </r>
  <r>
    <s v="6E1461"/>
    <d v="2025-05-17T00:00:00"/>
    <x v="0"/>
    <x v="0"/>
    <x v="9"/>
    <x v="9"/>
    <x v="0"/>
    <n v="57"/>
    <n v="78"/>
    <n v="21"/>
    <n v="73.08"/>
    <x v="0"/>
    <n v="486243"/>
    <n v="29649"/>
    <n v="515892"/>
    <n v="314991"/>
    <n v="461166"/>
    <n v="776157"/>
    <n v="-260265"/>
    <n v="-0.50449512688702292"/>
    <n v="71"/>
    <s v="No"/>
    <n v="3.3"/>
    <s v="Good"/>
  </r>
  <r>
    <s v="6E1462"/>
    <d v="2025-09-11T00:00:00"/>
    <x v="0"/>
    <x v="5"/>
    <x v="2"/>
    <x v="2"/>
    <x v="1"/>
    <n v="128"/>
    <n v="180"/>
    <n v="52"/>
    <n v="71.11"/>
    <x v="0"/>
    <n v="1109547"/>
    <n v="141585"/>
    <n v="1251132"/>
    <n v="1056460"/>
    <n v="1610064"/>
    <n v="2666524"/>
    <n v="-1415392"/>
    <n v="-1.131289104586886"/>
    <n v="8"/>
    <s v="Yes"/>
    <n v="4.3"/>
    <s v="Excellent"/>
  </r>
  <r>
    <s v="6E1463"/>
    <d v="2025-08-16T00:00:00"/>
    <x v="0"/>
    <x v="9"/>
    <x v="4"/>
    <x v="4"/>
    <x v="0"/>
    <n v="69"/>
    <n v="78"/>
    <n v="9"/>
    <n v="88.46"/>
    <x v="1"/>
    <n v="574659"/>
    <n v="41055"/>
    <n v="615714"/>
    <n v="652996"/>
    <n v="1161455"/>
    <n v="1814451"/>
    <n v="-1198737"/>
    <n v="-1.946905543807677"/>
    <n v="48"/>
    <s v="No"/>
    <n v="4.8"/>
    <s v="Excellent"/>
  </r>
  <r>
    <s v="6E1464"/>
    <d v="2025-02-11T00:00:00"/>
    <x v="0"/>
    <x v="11"/>
    <x v="0"/>
    <x v="0"/>
    <x v="1"/>
    <n v="110"/>
    <n v="180"/>
    <n v="70"/>
    <n v="61.11"/>
    <x v="0"/>
    <n v="573278"/>
    <n v="38414"/>
    <n v="611692"/>
    <n v="323052"/>
    <n v="527352"/>
    <n v="850404"/>
    <n v="-238712"/>
    <n v="-0.39024868724783063"/>
    <n v="18"/>
    <s v="No"/>
    <n v="3.7"/>
    <s v="Good"/>
  </r>
  <r>
    <s v="6E1465"/>
    <d v="2025-08-25T00:00:00"/>
    <x v="0"/>
    <x v="9"/>
    <x v="4"/>
    <x v="4"/>
    <x v="0"/>
    <n v="71"/>
    <n v="78"/>
    <n v="7"/>
    <n v="91.03"/>
    <x v="1"/>
    <n v="479435"/>
    <n v="22669"/>
    <n v="502104"/>
    <n v="907012"/>
    <n v="1557358"/>
    <n v="2464370"/>
    <n v="-1962266"/>
    <n v="-3.9080867708681866"/>
    <n v="70"/>
    <s v="No"/>
    <n v="4.7"/>
    <s v="Excellent"/>
  </r>
  <r>
    <s v="6E1466"/>
    <d v="2025-02-14T00:00:00"/>
    <x v="0"/>
    <x v="11"/>
    <x v="2"/>
    <x v="2"/>
    <x v="0"/>
    <n v="51"/>
    <n v="78"/>
    <n v="27"/>
    <n v="65.38"/>
    <x v="0"/>
    <n v="191493"/>
    <n v="27279"/>
    <n v="218772"/>
    <n v="408942"/>
    <n v="963308"/>
    <n v="1372250"/>
    <n v="-1153478"/>
    <n v="-5.2725120216481089"/>
    <n v="39"/>
    <s v="No"/>
    <n v="4.5"/>
    <s v="Excellent"/>
  </r>
  <r>
    <s v="6E1467"/>
    <d v="2025-06-11T00:00:00"/>
    <x v="0"/>
    <x v="1"/>
    <x v="0"/>
    <x v="0"/>
    <x v="0"/>
    <n v="64"/>
    <n v="78"/>
    <n v="14"/>
    <n v="82.05"/>
    <x v="0"/>
    <n v="528954"/>
    <n v="108141"/>
    <n v="637095"/>
    <n v="905840"/>
    <n v="1597721"/>
    <n v="2503561"/>
    <n v="-1866466"/>
    <n v="-2.9296509939647932"/>
    <n v="84"/>
    <s v="No"/>
    <n v="4.9000000000000004"/>
    <s v="Excellent"/>
  </r>
  <r>
    <s v="6E1468"/>
    <d v="2025-04-15T00:00:00"/>
    <x v="0"/>
    <x v="6"/>
    <x v="8"/>
    <x v="8"/>
    <x v="0"/>
    <n v="49"/>
    <n v="78"/>
    <n v="29"/>
    <n v="62.82"/>
    <x v="0"/>
    <n v="348378"/>
    <n v="92729"/>
    <n v="441107"/>
    <n v="332827"/>
    <n v="756932"/>
    <n v="1089759"/>
    <n v="-648652"/>
    <n v="-1.4705094228837901"/>
    <n v="90"/>
    <s v="No"/>
    <n v="4.5"/>
    <s v="Excellent"/>
  </r>
  <r>
    <s v="6E1469"/>
    <d v="2025-08-18T00:00:00"/>
    <x v="0"/>
    <x v="9"/>
    <x v="6"/>
    <x v="6"/>
    <x v="0"/>
    <n v="75"/>
    <n v="78"/>
    <n v="3"/>
    <n v="96.15"/>
    <x v="1"/>
    <n v="264269"/>
    <n v="40508"/>
    <n v="304777"/>
    <n v="1193151"/>
    <n v="1850834"/>
    <n v="3043985"/>
    <n v="-2739208"/>
    <n v="-8.9875810838744385"/>
    <n v="1"/>
    <s v="Yes"/>
    <n v="3.9"/>
    <s v="Good"/>
  </r>
  <r>
    <s v="6E1470"/>
    <d v="2025-03-28T00:00:00"/>
    <x v="0"/>
    <x v="4"/>
    <x v="9"/>
    <x v="9"/>
    <x v="1"/>
    <n v="153"/>
    <n v="180"/>
    <n v="27"/>
    <n v="85"/>
    <x v="1"/>
    <n v="1275932"/>
    <n v="147474"/>
    <n v="1423406"/>
    <n v="1033098"/>
    <n v="1191369"/>
    <n v="2224467"/>
    <n v="-801061"/>
    <n v="-0.5627775912143127"/>
    <n v="34"/>
    <s v="No"/>
    <n v="3.4"/>
    <s v="Good"/>
  </r>
  <r>
    <s v="6E1471"/>
    <d v="2025-08-15T00:00:00"/>
    <x v="0"/>
    <x v="9"/>
    <x v="6"/>
    <x v="6"/>
    <x v="2"/>
    <n v="152"/>
    <n v="232"/>
    <n v="80"/>
    <n v="65.52"/>
    <x v="0"/>
    <n v="755810"/>
    <n v="53018"/>
    <n v="808828"/>
    <n v="627655"/>
    <n v="776230"/>
    <n v="1403885"/>
    <n v="-595057"/>
    <n v="-0.7357027699337807"/>
    <n v="14"/>
    <s v="Yes"/>
    <n v="4.7"/>
    <s v="Excellent"/>
  </r>
  <r>
    <s v="6E1472"/>
    <d v="2025-04-05T00:00:00"/>
    <x v="0"/>
    <x v="6"/>
    <x v="1"/>
    <x v="1"/>
    <x v="1"/>
    <n v="144"/>
    <n v="180"/>
    <n v="36"/>
    <n v="80"/>
    <x v="0"/>
    <n v="689577"/>
    <n v="72486"/>
    <n v="762063"/>
    <n v="681057"/>
    <n v="1039719"/>
    <n v="1720776"/>
    <n v="-958713"/>
    <n v="-1.2580495313379603"/>
    <n v="70"/>
    <s v="No"/>
    <n v="3.7"/>
    <s v="Good"/>
  </r>
  <r>
    <s v="6E1473"/>
    <d v="2025-06-24T00:00:00"/>
    <x v="0"/>
    <x v="1"/>
    <x v="4"/>
    <x v="4"/>
    <x v="0"/>
    <n v="55"/>
    <n v="78"/>
    <n v="23"/>
    <n v="70.510000000000005"/>
    <x v="0"/>
    <n v="218145"/>
    <n v="119754"/>
    <n v="337899"/>
    <n v="765597"/>
    <n v="1116888"/>
    <n v="1882485"/>
    <n v="-1544586"/>
    <n v="-4.571146999547202"/>
    <n v="68"/>
    <s v="No"/>
    <n v="4.9000000000000004"/>
    <s v="Excellent"/>
  </r>
  <r>
    <s v="6E1474"/>
    <d v="2025-05-21T00:00:00"/>
    <x v="0"/>
    <x v="0"/>
    <x v="9"/>
    <x v="9"/>
    <x v="1"/>
    <n v="166"/>
    <n v="180"/>
    <n v="14"/>
    <n v="92.22"/>
    <x v="1"/>
    <n v="1216159"/>
    <n v="103021"/>
    <n v="1319180"/>
    <n v="920194"/>
    <n v="1204768"/>
    <n v="2124962"/>
    <n v="-805782"/>
    <n v="-0.61082035810124469"/>
    <n v="55"/>
    <s v="No"/>
    <n v="4.5"/>
    <s v="Excellent"/>
  </r>
  <r>
    <s v="6E1475"/>
    <d v="2025-01-28T00:00:00"/>
    <x v="0"/>
    <x v="10"/>
    <x v="4"/>
    <x v="4"/>
    <x v="0"/>
    <n v="60"/>
    <n v="78"/>
    <n v="18"/>
    <n v="76.92"/>
    <x v="0"/>
    <n v="384302"/>
    <n v="15118"/>
    <n v="399420"/>
    <n v="878342"/>
    <n v="1498021"/>
    <n v="2376363"/>
    <n v="-1976943"/>
    <n v="-4.9495343247709176"/>
    <n v="86"/>
    <s v="No"/>
    <n v="4.7"/>
    <s v="Excellent"/>
  </r>
  <r>
    <s v="6E1476"/>
    <d v="2025-08-16T00:00:00"/>
    <x v="0"/>
    <x v="9"/>
    <x v="2"/>
    <x v="2"/>
    <x v="2"/>
    <n v="153"/>
    <n v="232"/>
    <n v="79"/>
    <n v="65.95"/>
    <x v="0"/>
    <n v="1171568"/>
    <n v="136162"/>
    <n v="1307730"/>
    <n v="720210"/>
    <n v="917870"/>
    <n v="1638080"/>
    <n v="-330350"/>
    <n v="-0.25261330702820917"/>
    <n v="25"/>
    <s v="No"/>
    <n v="4.8"/>
    <s v="Excellent"/>
  </r>
  <r>
    <s v="6E1477"/>
    <d v="2025-01-28T00:00:00"/>
    <x v="0"/>
    <x v="10"/>
    <x v="8"/>
    <x v="8"/>
    <x v="2"/>
    <n v="142"/>
    <n v="232"/>
    <n v="90"/>
    <n v="61.21"/>
    <x v="0"/>
    <n v="950768"/>
    <n v="78091"/>
    <n v="1028859"/>
    <n v="509622"/>
    <n v="812999"/>
    <n v="1322621"/>
    <n v="-293762"/>
    <n v="-0.28552211721917192"/>
    <n v="58"/>
    <s v="No"/>
    <n v="4.4000000000000004"/>
    <s v="Excellent"/>
  </r>
  <r>
    <s v="6E1478"/>
    <d v="2025-05-05T00:00:00"/>
    <x v="0"/>
    <x v="0"/>
    <x v="4"/>
    <x v="4"/>
    <x v="1"/>
    <n v="164"/>
    <n v="180"/>
    <n v="16"/>
    <n v="91.11"/>
    <x v="1"/>
    <n v="678259"/>
    <n v="148251"/>
    <n v="826510"/>
    <n v="751142"/>
    <n v="1069526"/>
    <n v="1820668"/>
    <n v="-994158"/>
    <n v="-1.2028384411561868"/>
    <n v="70"/>
    <s v="No"/>
    <n v="3.9"/>
    <s v="Good"/>
  </r>
  <r>
    <s v="6E1479"/>
    <d v="2025-05-24T00:00:00"/>
    <x v="0"/>
    <x v="0"/>
    <x v="0"/>
    <x v="0"/>
    <x v="2"/>
    <n v="209"/>
    <n v="232"/>
    <n v="23"/>
    <n v="90.09"/>
    <x v="1"/>
    <n v="1551823"/>
    <n v="47130"/>
    <n v="1598953"/>
    <n v="1058058"/>
    <n v="1309242"/>
    <n v="2367300"/>
    <n v="-768347"/>
    <n v="-0.4805313226842815"/>
    <n v="6"/>
    <s v="Yes"/>
    <n v="3.3"/>
    <s v="Good"/>
  </r>
  <r>
    <s v="6E1480"/>
    <d v="2025-03-19T00:00:00"/>
    <x v="0"/>
    <x v="4"/>
    <x v="7"/>
    <x v="7"/>
    <x v="0"/>
    <n v="70"/>
    <n v="78"/>
    <n v="8"/>
    <n v="89.74"/>
    <x v="1"/>
    <n v="403098"/>
    <n v="74007"/>
    <n v="477105"/>
    <n v="1139929"/>
    <n v="1471122"/>
    <n v="2611051"/>
    <n v="-2133946"/>
    <n v="-4.4726967858228273"/>
    <n v="4"/>
    <s v="Yes"/>
    <n v="4.5"/>
    <s v="Excellent"/>
  </r>
  <r>
    <s v="6E1481"/>
    <d v="2025-04-02T00:00:00"/>
    <x v="0"/>
    <x v="6"/>
    <x v="3"/>
    <x v="3"/>
    <x v="0"/>
    <n v="53"/>
    <n v="78"/>
    <n v="25"/>
    <n v="67.95"/>
    <x v="0"/>
    <n v="188166"/>
    <n v="29533"/>
    <n v="217699"/>
    <n v="1118097"/>
    <n v="1415880"/>
    <n v="2533977"/>
    <n v="-2316278"/>
    <n v="-10.639819199904455"/>
    <n v="7"/>
    <s v="Yes"/>
    <n v="4.2"/>
    <s v="Excellent"/>
  </r>
  <r>
    <s v="6E1482"/>
    <d v="2025-02-02T00:00:00"/>
    <x v="0"/>
    <x v="11"/>
    <x v="4"/>
    <x v="4"/>
    <x v="2"/>
    <n v="169"/>
    <n v="232"/>
    <n v="63"/>
    <n v="72.84"/>
    <x v="0"/>
    <n v="619388"/>
    <n v="98540"/>
    <n v="717928"/>
    <n v="516752"/>
    <n v="1136101"/>
    <n v="1652853"/>
    <n v="-934925"/>
    <n v="-1.3022545436311161"/>
    <n v="56"/>
    <s v="No"/>
    <n v="3.8"/>
    <s v="Good"/>
  </r>
  <r>
    <s v="6E1483"/>
    <d v="2025-02-11T00:00:00"/>
    <x v="0"/>
    <x v="11"/>
    <x v="2"/>
    <x v="2"/>
    <x v="2"/>
    <n v="207"/>
    <n v="232"/>
    <n v="25"/>
    <n v="89.22"/>
    <x v="1"/>
    <n v="1618424"/>
    <n v="112359"/>
    <n v="1730783"/>
    <n v="301488"/>
    <n v="857265"/>
    <n v="1158753"/>
    <n v="572030"/>
    <n v="0.33050359288252773"/>
    <n v="11"/>
    <s v="Yes"/>
    <n v="3.9"/>
    <s v="Good"/>
  </r>
  <r>
    <s v="6E1484"/>
    <d v="2025-08-05T00:00:00"/>
    <x v="0"/>
    <x v="9"/>
    <x v="4"/>
    <x v="4"/>
    <x v="2"/>
    <n v="204"/>
    <n v="232"/>
    <n v="28"/>
    <n v="87.93"/>
    <x v="1"/>
    <n v="1328048"/>
    <n v="110595"/>
    <n v="1438643"/>
    <n v="711130"/>
    <n v="1135679"/>
    <n v="1846809"/>
    <n v="-408166"/>
    <n v="-0.28371597401162069"/>
    <n v="33"/>
    <s v="No"/>
    <n v="3.6"/>
    <s v="Good"/>
  </r>
  <r>
    <s v="6E1485"/>
    <d v="2025-05-10T00:00:00"/>
    <x v="0"/>
    <x v="0"/>
    <x v="8"/>
    <x v="8"/>
    <x v="0"/>
    <n v="66"/>
    <n v="78"/>
    <n v="12"/>
    <n v="84.62"/>
    <x v="0"/>
    <n v="408294"/>
    <n v="18526"/>
    <n v="426820"/>
    <n v="420917"/>
    <n v="1022851"/>
    <n v="1443768"/>
    <n v="-1016948"/>
    <n v="-2.3826156225106603"/>
    <n v="28"/>
    <s v="No"/>
    <n v="3.7"/>
    <s v="Good"/>
  </r>
  <r>
    <s v="6E1486"/>
    <d v="2025-08-10T00:00:00"/>
    <x v="0"/>
    <x v="9"/>
    <x v="4"/>
    <x v="4"/>
    <x v="1"/>
    <n v="170"/>
    <n v="180"/>
    <n v="10"/>
    <n v="94.44"/>
    <x v="1"/>
    <n v="602104"/>
    <n v="93270"/>
    <n v="695374"/>
    <n v="1022963"/>
    <n v="1442553"/>
    <n v="2465516"/>
    <n v="-1770142"/>
    <n v="-2.5455970456186168"/>
    <n v="8"/>
    <s v="Yes"/>
    <n v="3.6"/>
    <s v="Good"/>
  </r>
  <r>
    <s v="6E1487"/>
    <d v="2025-02-15T00:00:00"/>
    <x v="0"/>
    <x v="11"/>
    <x v="7"/>
    <x v="7"/>
    <x v="1"/>
    <n v="112"/>
    <n v="180"/>
    <n v="68"/>
    <n v="62.22"/>
    <x v="0"/>
    <n v="679385"/>
    <n v="130133"/>
    <n v="809518"/>
    <n v="557236"/>
    <n v="757640"/>
    <n v="1314876"/>
    <n v="-505358"/>
    <n v="-0.62427024476293302"/>
    <n v="41"/>
    <s v="No"/>
    <n v="4.8"/>
    <s v="Excellent"/>
  </r>
  <r>
    <s v="6E1488"/>
    <d v="2025-03-21T00:00:00"/>
    <x v="0"/>
    <x v="4"/>
    <x v="0"/>
    <x v="0"/>
    <x v="0"/>
    <n v="52"/>
    <n v="78"/>
    <n v="26"/>
    <n v="66.67"/>
    <x v="0"/>
    <n v="264148"/>
    <n v="104753"/>
    <n v="368901"/>
    <n v="383246"/>
    <n v="505338"/>
    <n v="888584"/>
    <n v="-519683"/>
    <n v="-1.4087329662971908"/>
    <n v="20"/>
    <s v="No"/>
    <n v="3.7"/>
    <s v="Good"/>
  </r>
  <r>
    <s v="6E1489"/>
    <d v="2025-09-05T00:00:00"/>
    <x v="0"/>
    <x v="5"/>
    <x v="1"/>
    <x v="1"/>
    <x v="2"/>
    <n v="191"/>
    <n v="232"/>
    <n v="41"/>
    <n v="82.33"/>
    <x v="0"/>
    <n v="713086"/>
    <n v="135886"/>
    <n v="848972"/>
    <n v="870226"/>
    <n v="1428526"/>
    <n v="2298752"/>
    <n v="-1449780"/>
    <n v="-1.7076888283712537"/>
    <n v="27"/>
    <s v="No"/>
    <n v="3.4"/>
    <s v="Good"/>
  </r>
  <r>
    <s v="6E1490"/>
    <d v="2025-07-07T00:00:00"/>
    <x v="0"/>
    <x v="2"/>
    <x v="7"/>
    <x v="7"/>
    <x v="1"/>
    <n v="169"/>
    <n v="180"/>
    <n v="11"/>
    <n v="93.89"/>
    <x v="1"/>
    <n v="914181"/>
    <n v="137227"/>
    <n v="1051408"/>
    <n v="673741"/>
    <n v="923713"/>
    <n v="1597454"/>
    <n v="-546046"/>
    <n v="-0.51934738940544489"/>
    <n v="88"/>
    <s v="No"/>
    <n v="4.7"/>
    <s v="Excellent"/>
  </r>
  <r>
    <s v="6E1491"/>
    <d v="2025-03-06T00:00:00"/>
    <x v="0"/>
    <x v="4"/>
    <x v="9"/>
    <x v="9"/>
    <x v="2"/>
    <n v="200"/>
    <n v="232"/>
    <n v="32"/>
    <n v="86.21"/>
    <x v="1"/>
    <n v="1560424"/>
    <n v="74903"/>
    <n v="1635327"/>
    <n v="548217"/>
    <n v="1053108"/>
    <n v="1601325"/>
    <n v="34002"/>
    <n v="2.0792171840861184E-2"/>
    <n v="73"/>
    <s v="No"/>
    <n v="4.2"/>
    <s v="Excellent"/>
  </r>
  <r>
    <s v="6E1492"/>
    <d v="2025-02-18T00:00:00"/>
    <x v="0"/>
    <x v="11"/>
    <x v="0"/>
    <x v="0"/>
    <x v="0"/>
    <n v="54"/>
    <n v="78"/>
    <n v="24"/>
    <n v="69.23"/>
    <x v="0"/>
    <n v="307824"/>
    <n v="87518"/>
    <n v="395342"/>
    <n v="1167145"/>
    <n v="1780695"/>
    <n v="2947840"/>
    <n v="-2552498"/>
    <n v="-6.4564301288504637"/>
    <n v="84"/>
    <s v="No"/>
    <n v="4.8"/>
    <s v="Excellent"/>
  </r>
  <r>
    <s v="6E1493"/>
    <d v="2025-04-06T00:00:00"/>
    <x v="0"/>
    <x v="6"/>
    <x v="2"/>
    <x v="2"/>
    <x v="2"/>
    <n v="171"/>
    <n v="232"/>
    <n v="61"/>
    <n v="73.709999999999994"/>
    <x v="0"/>
    <n v="1311883"/>
    <n v="109747"/>
    <n v="1421630"/>
    <n v="773600"/>
    <n v="1186581"/>
    <n v="1960181"/>
    <n v="-538551"/>
    <n v="-0.37882641756293833"/>
    <n v="31"/>
    <s v="No"/>
    <n v="4.8"/>
    <s v="Excellent"/>
  </r>
  <r>
    <s v="6E1494"/>
    <d v="2025-06-13T00:00:00"/>
    <x v="0"/>
    <x v="1"/>
    <x v="5"/>
    <x v="5"/>
    <x v="1"/>
    <n v="153"/>
    <n v="180"/>
    <n v="27"/>
    <n v="85"/>
    <x v="1"/>
    <n v="952238"/>
    <n v="55014"/>
    <n v="1007252"/>
    <n v="1164635"/>
    <n v="1708119"/>
    <n v="2872754"/>
    <n v="-1865502"/>
    <n v="-1.8520707826839757"/>
    <n v="3"/>
    <s v="Yes"/>
    <n v="3.5"/>
    <s v="Good"/>
  </r>
  <r>
    <s v="6E1495"/>
    <d v="2025-06-15T00:00:00"/>
    <x v="0"/>
    <x v="1"/>
    <x v="5"/>
    <x v="5"/>
    <x v="2"/>
    <n v="161"/>
    <n v="232"/>
    <n v="71"/>
    <n v="69.400000000000006"/>
    <x v="0"/>
    <n v="1411556"/>
    <n v="97744"/>
    <n v="1509300"/>
    <n v="848425"/>
    <n v="1414808"/>
    <n v="2263233"/>
    <n v="-753933"/>
    <n v="-0.49952494533889885"/>
    <n v="30"/>
    <s v="No"/>
    <n v="3.2"/>
    <s v="Good"/>
  </r>
  <r>
    <s v="6E1496"/>
    <d v="2025-01-06T00:00:00"/>
    <x v="0"/>
    <x v="10"/>
    <x v="3"/>
    <x v="3"/>
    <x v="1"/>
    <n v="174"/>
    <n v="180"/>
    <n v="6"/>
    <n v="96.67"/>
    <x v="1"/>
    <n v="1344550"/>
    <n v="58030"/>
    <n v="1402580"/>
    <n v="663455"/>
    <n v="1331409"/>
    <n v="1994864"/>
    <n v="-592284"/>
    <n v="-0.42228179497782659"/>
    <n v="57"/>
    <s v="No"/>
    <n v="3.7"/>
    <s v="Good"/>
  </r>
  <r>
    <s v="6E1497"/>
    <d v="2025-09-09T00:00:00"/>
    <x v="0"/>
    <x v="5"/>
    <x v="6"/>
    <x v="6"/>
    <x v="0"/>
    <n v="69"/>
    <n v="78"/>
    <n v="9"/>
    <n v="88.46"/>
    <x v="1"/>
    <n v="530751"/>
    <n v="139948"/>
    <n v="670699"/>
    <n v="761250"/>
    <n v="1248210"/>
    <n v="2009460"/>
    <n v="-1338761"/>
    <n v="-1.9960682810023573"/>
    <n v="47"/>
    <s v="No"/>
    <n v="4.7"/>
    <s v="Excellent"/>
  </r>
  <r>
    <s v="6E1498"/>
    <d v="2025-11-22T00:00:00"/>
    <x v="0"/>
    <x v="8"/>
    <x v="1"/>
    <x v="1"/>
    <x v="1"/>
    <n v="149"/>
    <n v="180"/>
    <n v="31"/>
    <n v="82.78"/>
    <x v="0"/>
    <n v="548426"/>
    <n v="77584"/>
    <n v="626010"/>
    <n v="820100"/>
    <n v="1320079"/>
    <n v="2140179"/>
    <n v="-1514169"/>
    <n v="-2.4187616811233048"/>
    <n v="27"/>
    <s v="No"/>
    <n v="3.3"/>
    <s v="Good"/>
  </r>
  <r>
    <s v="6E1499"/>
    <d v="2025-02-26T00:00:00"/>
    <x v="0"/>
    <x v="11"/>
    <x v="3"/>
    <x v="3"/>
    <x v="2"/>
    <n v="195"/>
    <n v="232"/>
    <n v="37"/>
    <n v="84.05"/>
    <x v="0"/>
    <n v="1380197"/>
    <n v="22464"/>
    <n v="1402661"/>
    <n v="925823"/>
    <n v="1540768"/>
    <n v="2466591"/>
    <n v="-1063930"/>
    <n v="-0.75850829245270235"/>
    <n v="57"/>
    <s v="No"/>
    <n v="3.2"/>
    <s v="Good"/>
  </r>
  <r>
    <s v="6E1500"/>
    <d v="2025-01-12T00:00:00"/>
    <x v="0"/>
    <x v="10"/>
    <x v="5"/>
    <x v="5"/>
    <x v="1"/>
    <n v="165"/>
    <n v="180"/>
    <n v="15"/>
    <n v="91.67"/>
    <x v="1"/>
    <n v="1321004"/>
    <n v="56543"/>
    <n v="1377547"/>
    <n v="1165684"/>
    <n v="1741843"/>
    <n v="2907527"/>
    <n v="-1529980"/>
    <n v="-1.1106553896164704"/>
    <n v="10"/>
    <s v="Yes"/>
    <n v="3.3"/>
    <s v="Good"/>
  </r>
  <r>
    <s v="6E1501"/>
    <d v="2025-07-04T00:00:00"/>
    <x v="0"/>
    <x v="2"/>
    <x v="9"/>
    <x v="9"/>
    <x v="2"/>
    <n v="195"/>
    <n v="232"/>
    <n v="37"/>
    <n v="84.05"/>
    <x v="0"/>
    <n v="719344"/>
    <n v="133232"/>
    <n v="852576"/>
    <n v="1018547"/>
    <n v="1202464"/>
    <n v="2221011"/>
    <n v="-1368435"/>
    <n v="-1.6050592557144465"/>
    <n v="11"/>
    <s v="Yes"/>
    <n v="4.3"/>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AC196-0A1D-4B3E-ADD3-3375FE1780AA}"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 colHeaderCaption="Year">
  <location ref="A13:B15" firstHeaderRow="1" firstDataRow="2" firstDataCol="1"/>
  <pivotFields count="24">
    <pivotField showAll="0"/>
    <pivotField numFmtId="14" showAll="0"/>
    <pivotField axis="axisCol" showAll="0">
      <items count="2">
        <item x="0"/>
        <item t="default"/>
      </items>
    </pivotField>
    <pivotField axis="axisRow" showAll="0" measureFilter="1" sortType="descending">
      <items count="13">
        <item x="10"/>
        <item x="11"/>
        <item x="4"/>
        <item x="6"/>
        <item x="0"/>
        <item x="1"/>
        <item x="2"/>
        <item x="9"/>
        <item x="5"/>
        <item x="7"/>
        <item x="8"/>
        <item x="3"/>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pivotField dataField="1"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6" showAll="0"/>
    <pivotField numFmtId="1" showAll="0"/>
    <pivotField showAll="0"/>
    <pivotField numFmtId="165" showAll="0"/>
    <pivotField showAll="0"/>
  </pivotFields>
  <rowFields count="1">
    <field x="3"/>
  </rowFields>
  <rowItems count="1">
    <i>
      <x v="6"/>
    </i>
  </rowItems>
  <colFields count="1">
    <field x="2"/>
  </colFields>
  <colItems count="1">
    <i>
      <x/>
    </i>
  </colItems>
  <dataFields count="1">
    <dataField name="Total Passengers" fld="7" baseField="0" baseItem="0"/>
  </dataField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C1901-80DB-4EC1-9E1C-81A61D647AE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9" firstHeaderRow="0" firstDataRow="1" firstDataCol="0"/>
  <pivotFields count="24">
    <pivotField showAll="0"/>
    <pivotField numFmtId="14" showAll="0"/>
    <pivotField showAll="0"/>
    <pivotField showAll="0"/>
    <pivotField showAll="0"/>
    <pivotField showAll="0"/>
    <pivotField showAll="0"/>
    <pivotField dataField="1" showAll="0"/>
    <pivotField showAll="0"/>
    <pivotField dataField="1"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dataField="1" numFmtId="166" showAll="0"/>
    <pivotField dataField="1" numFmtId="1" showAll="0"/>
    <pivotField showAll="0"/>
    <pivotField numFmtId="165" showAll="0"/>
    <pivotField showAll="0"/>
  </pivotFields>
  <rowItems count="1">
    <i/>
  </rowItems>
  <colFields count="1">
    <field x="-2"/>
  </colFields>
  <colItems count="4">
    <i>
      <x/>
    </i>
    <i i="1">
      <x v="1"/>
    </i>
    <i i="2">
      <x v="2"/>
    </i>
    <i i="3">
      <x v="3"/>
    </i>
  </colItems>
  <dataFields count="4">
    <dataField name="_Profit_Margin_%" fld="19" baseField="0" baseItem="1"/>
    <dataField name="Average_Delay_In_Minutes" fld="20" subtotal="average" baseField="0" baseItem="1"/>
    <dataField name="Total_Passengers" fld="7" baseField="0" baseItem="2"/>
    <dataField name="Toatl_Seats_Available" fld="9"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893D95-DA13-47CC-88F2-AD8532E679F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4">
    <pivotField showAll="0"/>
    <pivotField numFmtId="14" showAll="0"/>
    <pivotField showAll="0"/>
    <pivotField showAll="0"/>
    <pivotField showAll="0"/>
    <pivotField showAll="0"/>
    <pivotField showAll="0"/>
    <pivotField showAll="0"/>
    <pivotField showAll="0"/>
    <pivotField showAll="0"/>
    <pivotField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numFmtId="166" showAll="0"/>
    <pivotField numFmtId="1" showAll="0"/>
    <pivotField showAll="0"/>
    <pivotField numFmtId="165" showAll="0"/>
    <pivotField showAll="0"/>
  </pivotFields>
  <rowItems count="1">
    <i/>
  </rowItems>
  <colFields count="1">
    <field x="-2"/>
  </colFields>
  <colItems count="7">
    <i>
      <x/>
    </i>
    <i i="1">
      <x v="1"/>
    </i>
    <i i="2">
      <x v="2"/>
    </i>
    <i i="3">
      <x v="3"/>
    </i>
    <i i="4">
      <x v="4"/>
    </i>
    <i i="5">
      <x v="5"/>
    </i>
    <i i="6">
      <x v="6"/>
    </i>
  </colItems>
  <dataFields count="7">
    <dataField name="Total_Ticket_Revenue" fld="12" baseField="0" baseItem="1"/>
    <dataField name="Total_Cargo_Revenue" fld="13" baseField="0" baseItem="1"/>
    <dataField name="Total_Sales" fld="14" baseField="0" baseItem="2"/>
    <dataField name="Total_Fuel_Cost" fld="15" baseField="0" baseItem="3"/>
    <dataField name="Total_Operating_Cost_INR" fld="16" baseField="0" baseItem="4"/>
    <dataField name="Total_Cost_" fld="17" baseField="0" baseItem="5"/>
    <dataField name="Total_Profit_" fld="18" baseField="0"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8AD371-2893-4E17-B4FE-1E3446AB9EF5}"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ircraft Type" colHeaderCaption="Year">
  <location ref="D13:E14" firstHeaderRow="1" firstDataRow="1" firstDataCol="1"/>
  <pivotFields count="24">
    <pivotField showAll="0"/>
    <pivotField numFmtId="14" showAll="0"/>
    <pivotField showAll="0"/>
    <pivotField showAll="0" measureFilter="1"/>
    <pivotField showAll="0"/>
    <pivotField showAll="0"/>
    <pivotField axis="axisRow" showAll="0" measureFilter="1"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6" showAll="0"/>
    <pivotField numFmtId="1" showAll="0"/>
    <pivotField showAll="0"/>
    <pivotField numFmtId="165" showAll="0"/>
    <pivotField showAll="0"/>
  </pivotFields>
  <rowFields count="1">
    <field x="6"/>
  </rowFields>
  <rowItems count="1">
    <i>
      <x v="1"/>
    </i>
  </rowItems>
  <colItems count="1">
    <i/>
  </colItems>
  <dataFields count="1">
    <dataField name="Total Passengers" fld="7" baseField="0" baseItem="0"/>
  </dataFields>
  <conditionalFormats count="1">
    <conditionalFormat type="all"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2">
    <filter fld="3" type="count" evalOrder="-1" id="1" iMeasureFld="0">
      <autoFilter ref="A1">
        <filterColumn colId="0">
          <top10 val="1" filterVal="1"/>
        </filterColumn>
      </autoFilter>
    </filter>
    <filter fld="6"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268A16-F8A8-439B-9F4B-7954390B0E1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ircraft Type" colHeaderCaption="Factor Level">
  <location ref="A4:E9" firstHeaderRow="1" firstDataRow="2" firstDataCol="1"/>
  <pivotFields count="24">
    <pivotField dataField="1" showAll="0"/>
    <pivotField numFmtId="14" showAll="0"/>
    <pivotField showAll="0"/>
    <pivotField showAll="0"/>
    <pivotField showAll="0"/>
    <pivotField showAll="0"/>
    <pivotField axis="axisRow" showAll="0" sortType="descending">
      <items count="4">
        <item x="1"/>
        <item x="2"/>
        <item x="0"/>
        <item t="default"/>
      </items>
      <autoSortScope>
        <pivotArea dataOnly="0" outline="0" fieldPosition="0">
          <references count="2">
            <reference field="4294967294" count="1" selected="0">
              <x v="0"/>
            </reference>
            <reference field="11" count="1" selected="0">
              <x v="0"/>
            </reference>
          </references>
        </pivotArea>
      </autoSortScope>
    </pivotField>
    <pivotField showAll="0"/>
    <pivotField showAll="0"/>
    <pivotField showAll="0"/>
    <pivotField showAll="0"/>
    <pivotField axis="axisCol" showAll="0">
      <items count="4">
        <item x="1"/>
        <item x="0"/>
        <item x="2"/>
        <item t="default"/>
      </items>
    </pivotField>
    <pivotField numFmtId="164" showAll="0"/>
    <pivotField numFmtId="164" showAll="0"/>
    <pivotField numFmtId="164" showAll="0"/>
    <pivotField numFmtId="164" showAll="0"/>
    <pivotField numFmtId="164" showAll="0"/>
    <pivotField numFmtId="164" showAll="0"/>
    <pivotField numFmtId="164" showAll="0"/>
    <pivotField numFmtId="166" showAll="0"/>
    <pivotField numFmtId="1" showAll="0"/>
    <pivotField showAll="0"/>
    <pivotField numFmtId="165" showAll="0"/>
    <pivotField showAll="0"/>
  </pivotFields>
  <rowFields count="1">
    <field x="6"/>
  </rowFields>
  <rowItems count="4">
    <i>
      <x v="2"/>
    </i>
    <i>
      <x/>
    </i>
    <i>
      <x v="1"/>
    </i>
    <i t="grand">
      <x/>
    </i>
  </rowItems>
  <colFields count="1">
    <field x="11"/>
  </colFields>
  <colItems count="4">
    <i>
      <x/>
    </i>
    <i>
      <x v="1"/>
    </i>
    <i>
      <x v="2"/>
    </i>
    <i t="grand">
      <x/>
    </i>
  </colItems>
  <dataFields count="1">
    <dataField name="Total flight" fld="0" subtotal="count" baseField="0" baseItem="0"/>
  </dataFields>
  <conditionalFormats count="5">
    <conditionalFormat type="all" priority="26">
      <pivotAreas count="1">
        <pivotArea type="data" collapsedLevelsAreSubtotals="1" fieldPosition="0">
          <references count="3">
            <reference field="4294967294" count="1" selected="0">
              <x v="0"/>
            </reference>
            <reference field="6" count="1">
              <x v="2"/>
            </reference>
            <reference field="11" count="1" selected="0">
              <x v="0"/>
            </reference>
          </references>
        </pivotArea>
      </pivotAreas>
    </conditionalFormat>
    <conditionalFormat type="all" priority="25">
      <pivotAreas count="1">
        <pivotArea type="data" collapsedLevelsAreSubtotals="1" fieldPosition="0">
          <references count="3">
            <reference field="4294967294" count="1" selected="0">
              <x v="0"/>
            </reference>
            <reference field="6" count="3">
              <x v="0"/>
              <x v="1"/>
              <x v="2"/>
            </reference>
            <reference field="11" count="1" selected="0">
              <x v="0"/>
            </reference>
          </references>
        </pivotArea>
      </pivotAreas>
    </conditionalFormat>
    <conditionalFormat type="all" priority="24">
      <pivotAreas count="1">
        <pivotArea type="data" collapsedLevelsAreSubtotals="1" fieldPosition="0">
          <references count="3">
            <reference field="4294967294" count="1" selected="0">
              <x v="0"/>
            </reference>
            <reference field="6" count="3">
              <x v="0"/>
              <x v="1"/>
              <x v="2"/>
            </reference>
            <reference field="11" count="1" selected="0">
              <x v="1"/>
            </reference>
          </references>
        </pivotArea>
      </pivotAreas>
    </conditionalFormat>
    <conditionalFormat type="all" priority="23">
      <pivotAreas count="1">
        <pivotArea type="data" collapsedLevelsAreSubtotals="1" fieldPosition="0">
          <references count="3">
            <reference field="4294967294" count="1" selected="0">
              <x v="0"/>
            </reference>
            <reference field="6" count="3">
              <x v="0"/>
              <x v="1"/>
              <x v="2"/>
            </reference>
            <reference field="11" count="1" selected="0">
              <x v="1"/>
            </reference>
          </references>
        </pivotArea>
      </pivotAreas>
    </conditionalFormat>
    <conditionalFormat type="all" priority="22">
      <pivotAreas count="1">
        <pivotArea type="data" collapsedLevelsAreSubtotals="1" fieldPosition="0">
          <references count="3">
            <reference field="4294967294" count="1" selected="0">
              <x v="0"/>
            </reference>
            <reference field="6" count="3">
              <x v="0"/>
              <x v="1"/>
              <x v="2"/>
            </reference>
            <reference field="11"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70B55A-3313-463A-BF1D-F3EECDC884BB}"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ircraft Type" colHeaderCaption="Factor Level">
  <location ref="G4:P8" firstHeaderRow="0" firstDataRow="1" firstDataCol="1"/>
  <pivotFields count="24">
    <pivotField showAll="0"/>
    <pivotField numFmtId="14"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6" showAll="0"/>
    <pivotField numFmtId="1" showAll="0"/>
    <pivotField showAll="0"/>
    <pivotField numFmtId="165" showAll="0"/>
    <pivotField showAll="0"/>
  </pivotFields>
  <rowFields count="1">
    <field x="6"/>
  </rowFields>
  <rowItems count="4">
    <i>
      <x/>
    </i>
    <i>
      <x v="1"/>
    </i>
    <i>
      <x v="2"/>
    </i>
    <i t="grand">
      <x/>
    </i>
  </rowItems>
  <colFields count="1">
    <field x="-2"/>
  </colFields>
  <colItems count="9">
    <i>
      <x/>
    </i>
    <i i="1">
      <x v="1"/>
    </i>
    <i i="2">
      <x v="2"/>
    </i>
    <i i="3">
      <x v="3"/>
    </i>
    <i i="4">
      <x v="4"/>
    </i>
    <i i="5">
      <x v="5"/>
    </i>
    <i i="6">
      <x v="6"/>
    </i>
    <i i="7">
      <x v="7"/>
    </i>
    <i i="8">
      <x v="8"/>
    </i>
  </colItems>
  <dataFields count="9">
    <dataField name="Total Seats_Available" fld="9" baseField="5" baseItem="0"/>
    <dataField name="Total Ticket_Revenue" fld="12" baseField="5" baseItem="0"/>
    <dataField name="Cargo_Revenue" fld="13" baseField="5" baseItem="0"/>
    <dataField name="_Total_Revenue" fld="14" baseField="5" baseItem="0"/>
    <dataField name="Fuel_Cost" fld="15" baseField="5" baseItem="0"/>
    <dataField name="Operating_Cost" fld="16" baseField="5" baseItem="0"/>
    <dataField name=" _Total_Cost" fld="17" baseField="5" baseItem="0"/>
    <dataField name="_Total_Profit" fld="18" baseField="5" baseItem="0"/>
    <dataField name="_Profit_Margin_%" fld="19" baseField="5" baseItem="0"/>
  </dataFields>
  <conditionalFormats count="16">
    <conditionalFormat type="all" priority="16">
      <pivotAreas count="1">
        <pivotArea type="data" collapsedLevelsAreSubtotals="1" fieldPosition="0">
          <references count="2">
            <reference field="4294967294" count="1" selected="0">
              <x v="0"/>
            </reference>
            <reference field="6" count="3">
              <x v="0"/>
              <x v="1"/>
              <x v="2"/>
            </reference>
          </references>
        </pivotArea>
      </pivotAreas>
    </conditionalFormat>
    <conditionalFormat type="all" priority="15">
      <pivotAreas count="1">
        <pivotArea type="data" collapsedLevelsAreSubtotals="1" fieldPosition="0">
          <references count="2">
            <reference field="4294967294" count="1" selected="0">
              <x v="1"/>
            </reference>
            <reference field="6" count="3">
              <x v="0"/>
              <x v="1"/>
              <x v="2"/>
            </reference>
          </references>
        </pivotArea>
      </pivotAreas>
    </conditionalFormat>
    <conditionalFormat type="all" priority="14">
      <pivotAreas count="1">
        <pivotArea type="data" collapsedLevelsAreSubtotals="1" fieldPosition="0">
          <references count="2">
            <reference field="4294967294" count="1" selected="0">
              <x v="2"/>
            </reference>
            <reference field="6" count="3">
              <x v="0"/>
              <x v="1"/>
              <x v="2"/>
            </reference>
          </references>
        </pivotArea>
      </pivotAreas>
    </conditionalFormat>
    <conditionalFormat type="all" priority="13">
      <pivotAreas count="1">
        <pivotArea type="data" collapsedLevelsAreSubtotals="1" fieldPosition="0">
          <references count="2">
            <reference field="4294967294" count="1" selected="0">
              <x v="2"/>
            </reference>
            <reference field="6" count="3">
              <x v="0"/>
              <x v="1"/>
              <x v="2"/>
            </reference>
          </references>
        </pivotArea>
      </pivotAreas>
    </conditionalFormat>
    <conditionalFormat type="all" priority="12">
      <pivotAreas count="1">
        <pivotArea type="data" collapsedLevelsAreSubtotals="1" fieldPosition="0">
          <references count="2">
            <reference field="4294967294" count="1" selected="0">
              <x v="1"/>
            </reference>
            <reference field="6" count="3">
              <x v="0"/>
              <x v="1"/>
              <x v="2"/>
            </reference>
          </references>
        </pivotArea>
      </pivotAreas>
    </conditionalFormat>
    <conditionalFormat type="all" priority="11">
      <pivotAreas count="1">
        <pivotArea type="data" collapsedLevelsAreSubtotals="1" fieldPosition="0">
          <references count="2">
            <reference field="4294967294" count="1" selected="0">
              <x v="0"/>
            </reference>
            <reference field="6" count="3">
              <x v="0"/>
              <x v="1"/>
              <x v="2"/>
            </reference>
          </references>
        </pivotArea>
      </pivotAreas>
    </conditionalFormat>
    <conditionalFormat type="all" priority="10">
      <pivotAreas count="1">
        <pivotArea type="data" collapsedLevelsAreSubtotals="1" fieldPosition="0">
          <references count="2">
            <reference field="4294967294" count="1" selected="0">
              <x v="3"/>
            </reference>
            <reference field="6" count="3">
              <x v="0"/>
              <x v="1"/>
              <x v="2"/>
            </reference>
          </references>
        </pivotArea>
      </pivotAreas>
    </conditionalFormat>
    <conditionalFormat type="all" priority="9">
      <pivotAreas count="1">
        <pivotArea type="data" collapsedLevelsAreSubtotals="1" fieldPosition="0">
          <references count="2">
            <reference field="4294967294" count="1" selected="0">
              <x v="3"/>
            </reference>
            <reference field="6" count="3">
              <x v="0"/>
              <x v="1"/>
              <x v="2"/>
            </reference>
          </references>
        </pivotArea>
      </pivotAreas>
    </conditionalFormat>
    <conditionalFormat type="all" priority="8">
      <pivotAreas count="1">
        <pivotArea type="data" collapsedLevelsAreSubtotals="1" fieldPosition="0">
          <references count="2">
            <reference field="4294967294" count="1" selected="0">
              <x v="4"/>
            </reference>
            <reference field="6" count="3">
              <x v="0"/>
              <x v="1"/>
              <x v="2"/>
            </reference>
          </references>
        </pivotArea>
      </pivotAreas>
    </conditionalFormat>
    <conditionalFormat type="all" priority="7">
      <pivotAreas count="1">
        <pivotArea type="data" collapsedLevelsAreSubtotals="1" fieldPosition="0">
          <references count="2">
            <reference field="4294967294" count="1" selected="0">
              <x v="4"/>
            </reference>
            <reference field="6" count="3">
              <x v="0"/>
              <x v="1"/>
              <x v="2"/>
            </reference>
          </references>
        </pivotArea>
      </pivotAreas>
    </conditionalFormat>
    <conditionalFormat type="all" priority="6">
      <pivotAreas count="1">
        <pivotArea type="data" collapsedLevelsAreSubtotals="1" fieldPosition="0">
          <references count="2">
            <reference field="4294967294" count="1" selected="0">
              <x v="5"/>
            </reference>
            <reference field="6" count="3">
              <x v="0"/>
              <x v="1"/>
              <x v="2"/>
            </reference>
          </references>
        </pivotArea>
      </pivotAreas>
    </conditionalFormat>
    <conditionalFormat type="all" priority="5">
      <pivotAreas count="1">
        <pivotArea type="data" collapsedLevelsAreSubtotals="1" fieldPosition="0">
          <references count="2">
            <reference field="4294967294" count="1" selected="0">
              <x v="5"/>
            </reference>
            <reference field="6" count="3">
              <x v="0"/>
              <x v="1"/>
              <x v="2"/>
            </reference>
          </references>
        </pivotArea>
      </pivotAreas>
    </conditionalFormat>
    <conditionalFormat type="all" priority="4">
      <pivotAreas count="1">
        <pivotArea type="data" collapsedLevelsAreSubtotals="1" fieldPosition="0">
          <references count="2">
            <reference field="4294967294" count="1" selected="0">
              <x v="6"/>
            </reference>
            <reference field="6" count="3">
              <x v="0"/>
              <x v="1"/>
              <x v="2"/>
            </reference>
          </references>
        </pivotArea>
      </pivotAreas>
    </conditionalFormat>
    <conditionalFormat type="all" priority="3">
      <pivotAreas count="1">
        <pivotArea type="data" collapsedLevelsAreSubtotals="1" fieldPosition="0">
          <references count="2">
            <reference field="4294967294" count="1" selected="0">
              <x v="6"/>
            </reference>
            <reference field="6" count="3">
              <x v="0"/>
              <x v="1"/>
              <x v="2"/>
            </reference>
          </references>
        </pivotArea>
      </pivotAreas>
    </conditionalFormat>
    <conditionalFormat type="all" priority="2">
      <pivotAreas count="1">
        <pivotArea type="data" collapsedLevelsAreSubtotals="1" fieldPosition="0">
          <references count="2">
            <reference field="4294967294" count="1" selected="0">
              <x v="7"/>
            </reference>
            <reference field="6" count="3">
              <x v="0"/>
              <x v="1"/>
              <x v="2"/>
            </reference>
          </references>
        </pivotArea>
      </pivotAreas>
    </conditionalFormat>
    <conditionalFormat type="all" priority="1">
      <pivotAreas count="1">
        <pivotArea type="data" collapsedLevelsAreSubtotals="1" fieldPosition="0">
          <references count="2">
            <reference field="4294967294" count="1" selected="0">
              <x v="7"/>
            </reference>
            <reference field="6"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1B1C89-F753-4015-BEBA-56543BB61FD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ute Name">
  <location ref="A8:K29" firstHeaderRow="0" firstDataRow="1" firstDataCol="1"/>
  <pivotFields count="24">
    <pivotField showAll="0"/>
    <pivotField numFmtId="14" showAll="0"/>
    <pivotField showAll="0"/>
    <pivotField showAll="0"/>
    <pivotField axis="axisRow" showAll="0" sortType="descending">
      <items count="11">
        <item x="7"/>
        <item x="9"/>
        <item x="3"/>
        <item x="5"/>
        <item x="1"/>
        <item x="6"/>
        <item x="2"/>
        <item x="4"/>
        <item x="0"/>
        <item x="8"/>
        <item t="default"/>
      </items>
      <autoSortScope>
        <pivotArea dataOnly="0" outline="0" fieldPosition="0">
          <references count="1">
            <reference field="4294967294" count="1" selected="0">
              <x v="8"/>
            </reference>
          </references>
        </pivotArea>
      </autoSortScope>
    </pivotField>
    <pivotField axis="axisRow" showAll="0">
      <items count="11">
        <item x="7"/>
        <item x="9"/>
        <item x="3"/>
        <item x="5"/>
        <item x="1"/>
        <item x="6"/>
        <item x="2"/>
        <item x="4"/>
        <item x="0"/>
        <item x="8"/>
        <item t="default"/>
      </items>
    </pivotField>
    <pivotField showAll="0">
      <items count="4">
        <item x="1"/>
        <item x="2"/>
        <item x="0"/>
        <item t="default"/>
      </items>
    </pivotField>
    <pivotField dataField="1" showAll="0"/>
    <pivotField showAll="0"/>
    <pivotField dataField="1" showAll="0"/>
    <pivotField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numFmtId="164" showAll="0"/>
    <pivotField dataField="1" numFmtId="166" showAll="0"/>
    <pivotField dataField="1" numFmtId="1" showAll="0"/>
    <pivotField showAll="0"/>
    <pivotField numFmtId="165" showAll="0"/>
    <pivotField showAll="0"/>
  </pivotFields>
  <rowFields count="2">
    <field x="4"/>
    <field x="5"/>
  </rowFields>
  <rowItems count="21">
    <i>
      <x v="1"/>
    </i>
    <i r="1">
      <x v="1"/>
    </i>
    <i>
      <x v="5"/>
    </i>
    <i r="1">
      <x v="5"/>
    </i>
    <i>
      <x v="4"/>
    </i>
    <i r="1">
      <x v="4"/>
    </i>
    <i>
      <x v="3"/>
    </i>
    <i r="1">
      <x v="3"/>
    </i>
    <i>
      <x v="7"/>
    </i>
    <i r="1">
      <x v="7"/>
    </i>
    <i>
      <x v="9"/>
    </i>
    <i r="1">
      <x v="9"/>
    </i>
    <i>
      <x/>
    </i>
    <i r="1">
      <x/>
    </i>
    <i>
      <x v="6"/>
    </i>
    <i r="1">
      <x v="6"/>
    </i>
    <i>
      <x v="2"/>
    </i>
    <i r="1">
      <x v="2"/>
    </i>
    <i>
      <x v="8"/>
    </i>
    <i r="1">
      <x v="8"/>
    </i>
    <i t="grand">
      <x/>
    </i>
  </rowItems>
  <colFields count="1">
    <field x="-2"/>
  </colFields>
  <colItems count="10">
    <i>
      <x/>
    </i>
    <i i="1">
      <x v="1"/>
    </i>
    <i i="2">
      <x v="2"/>
    </i>
    <i i="3">
      <x v="3"/>
    </i>
    <i i="4">
      <x v="4"/>
    </i>
    <i i="5">
      <x v="5"/>
    </i>
    <i i="6">
      <x v="6"/>
    </i>
    <i i="7">
      <x v="7"/>
    </i>
    <i i="8">
      <x v="8"/>
    </i>
    <i i="9">
      <x v="9"/>
    </i>
  </colItems>
  <dataFields count="10">
    <dataField name="% Passengers" fld="7" showDataAs="percentOfCol" baseField="0" baseItem="0" numFmtId="10"/>
    <dataField name=" Seats_Available" fld="9" baseField="4" baseItem="0"/>
    <dataField name="Cargo_Revenue" fld="13" baseField="4" baseItem="0"/>
    <dataField name="Ticket_Revenue" fld="12" baseField="4" baseItem="0"/>
    <dataField name="Total_Revenue_" fld="14" baseField="4" baseItem="0"/>
    <dataField name="Fuel_Cost" fld="15" baseField="4" baseItem="0"/>
    <dataField name="Operating_Cost" fld="16" baseField="4" baseItem="0"/>
    <dataField name="Total_Cost_" fld="17" baseField="4" baseItem="0"/>
    <dataField name="_Profit_Margin_%" fld="19" baseField="4" baseItem="0"/>
    <dataField name="Average_of_Delay_in_Minutes" fld="20" subtotal="average" baseField="4" baseItem="0" numFmtId="2"/>
  </dataFields>
  <formats count="2">
    <format dxfId="49">
      <pivotArea outline="0" collapsedLevelsAreSubtotals="1" fieldPosition="0">
        <references count="1">
          <reference field="4294967294" count="1" selected="0">
            <x v="9"/>
          </reference>
        </references>
      </pivotArea>
    </format>
    <format dxfId="48">
      <pivotArea outline="0" fieldPosition="0">
        <references count="1">
          <reference field="4294967294" count="1">
            <x v="0"/>
          </reference>
        </references>
      </pivotArea>
    </format>
  </formats>
  <conditionalFormats count="20">
    <conditionalFormat type="all" priority="21">
      <pivotAreas count="1">
        <pivotArea type="data" collapsedLevelsAreSubtotals="1" fieldPosition="0">
          <references count="2">
            <reference field="4294967294" count="1" selected="0">
              <x v="1"/>
            </reference>
            <reference field="4" count="10">
              <x v="0"/>
              <x v="1"/>
              <x v="2"/>
              <x v="3"/>
              <x v="4"/>
              <x v="5"/>
              <x v="6"/>
              <x v="7"/>
              <x v="8"/>
              <x v="9"/>
            </reference>
          </references>
        </pivotArea>
      </pivotAreas>
    </conditionalFormat>
    <conditionalFormat type="all" priority="20">
      <pivotAreas count="1">
        <pivotArea type="data" collapsedLevelsAreSubtotals="1" fieldPosition="0">
          <references count="2">
            <reference field="4294967294" count="1" selected="0">
              <x v="1"/>
            </reference>
            <reference field="4" count="10">
              <x v="0"/>
              <x v="1"/>
              <x v="2"/>
              <x v="3"/>
              <x v="4"/>
              <x v="5"/>
              <x v="6"/>
              <x v="7"/>
              <x v="8"/>
              <x v="9"/>
            </reference>
          </references>
        </pivotArea>
      </pivotAreas>
    </conditionalFormat>
    <conditionalFormat type="all" priority="19">
      <pivotAreas count="1">
        <pivotArea type="data" collapsedLevelsAreSubtotals="1" fieldPosition="0">
          <references count="2">
            <reference field="4294967294" count="1" selected="0">
              <x v="2"/>
            </reference>
            <reference field="4" count="10">
              <x v="0"/>
              <x v="1"/>
              <x v="2"/>
              <x v="3"/>
              <x v="4"/>
              <x v="5"/>
              <x v="6"/>
              <x v="7"/>
              <x v="8"/>
              <x v="9"/>
            </reference>
          </references>
        </pivotArea>
      </pivotAreas>
    </conditionalFormat>
    <conditionalFormat type="all" priority="18">
      <pivotAreas count="1">
        <pivotArea type="data" collapsedLevelsAreSubtotals="1" fieldPosition="0">
          <references count="2">
            <reference field="4294967294" count="1" selected="0">
              <x v="2"/>
            </reference>
            <reference field="4" count="10">
              <x v="0"/>
              <x v="1"/>
              <x v="2"/>
              <x v="3"/>
              <x v="4"/>
              <x v="5"/>
              <x v="6"/>
              <x v="7"/>
              <x v="8"/>
              <x v="9"/>
            </reference>
          </references>
        </pivotArea>
      </pivotAreas>
    </conditionalFormat>
    <conditionalFormat type="all" priority="17">
      <pivotAreas count="1">
        <pivotArea type="data" collapsedLevelsAreSubtotals="1" fieldPosition="0">
          <references count="2">
            <reference field="4294967294" count="1" selected="0">
              <x v="3"/>
            </reference>
            <reference field="4" count="10">
              <x v="0"/>
              <x v="1"/>
              <x v="2"/>
              <x v="3"/>
              <x v="4"/>
              <x v="5"/>
              <x v="6"/>
              <x v="7"/>
              <x v="8"/>
              <x v="9"/>
            </reference>
          </references>
        </pivotArea>
      </pivotAreas>
    </conditionalFormat>
    <conditionalFormat type="all" priority="16">
      <pivotAreas count="1">
        <pivotArea type="data" collapsedLevelsAreSubtotals="1" fieldPosition="0">
          <references count="2">
            <reference field="4294967294" count="1" selected="0">
              <x v="3"/>
            </reference>
            <reference field="4" count="10">
              <x v="0"/>
              <x v="1"/>
              <x v="2"/>
              <x v="3"/>
              <x v="4"/>
              <x v="5"/>
              <x v="6"/>
              <x v="7"/>
              <x v="8"/>
              <x v="9"/>
            </reference>
          </references>
        </pivotArea>
      </pivotAreas>
    </conditionalFormat>
    <conditionalFormat type="all" priority="15">
      <pivotAreas count="1">
        <pivotArea type="data" collapsedLevelsAreSubtotals="1" fieldPosition="0">
          <references count="2">
            <reference field="4294967294" count="1" selected="0">
              <x v="4"/>
            </reference>
            <reference field="4" count="10">
              <x v="0"/>
              <x v="1"/>
              <x v="2"/>
              <x v="3"/>
              <x v="4"/>
              <x v="5"/>
              <x v="6"/>
              <x v="7"/>
              <x v="8"/>
              <x v="9"/>
            </reference>
          </references>
        </pivotArea>
      </pivotAreas>
    </conditionalFormat>
    <conditionalFormat type="all" priority="14">
      <pivotAreas count="1">
        <pivotArea type="data" collapsedLevelsAreSubtotals="1" fieldPosition="0">
          <references count="2">
            <reference field="4294967294" count="1" selected="0">
              <x v="4"/>
            </reference>
            <reference field="4" count="10">
              <x v="0"/>
              <x v="1"/>
              <x v="2"/>
              <x v="3"/>
              <x v="4"/>
              <x v="5"/>
              <x v="6"/>
              <x v="7"/>
              <x v="8"/>
              <x v="9"/>
            </reference>
          </references>
        </pivotArea>
      </pivotAreas>
    </conditionalFormat>
    <conditionalFormat type="all" priority="13">
      <pivotAreas count="1">
        <pivotArea type="data" collapsedLevelsAreSubtotals="1" fieldPosition="0">
          <references count="2">
            <reference field="4294967294" count="1" selected="0">
              <x v="5"/>
            </reference>
            <reference field="4" count="10">
              <x v="0"/>
              <x v="1"/>
              <x v="2"/>
              <x v="3"/>
              <x v="4"/>
              <x v="5"/>
              <x v="6"/>
              <x v="7"/>
              <x v="8"/>
              <x v="9"/>
            </reference>
          </references>
        </pivotArea>
      </pivotAreas>
    </conditionalFormat>
    <conditionalFormat type="all" priority="11">
      <pivotAreas count="1">
        <pivotArea type="data" collapsedLevelsAreSubtotals="1" fieldPosition="0">
          <references count="2">
            <reference field="4294967294" count="1" selected="0">
              <x v="5"/>
            </reference>
            <reference field="4" count="10">
              <x v="0"/>
              <x v="1"/>
              <x v="2"/>
              <x v="3"/>
              <x v="4"/>
              <x v="5"/>
              <x v="6"/>
              <x v="7"/>
              <x v="8"/>
              <x v="9"/>
            </reference>
          </references>
        </pivotArea>
      </pivotAreas>
    </conditionalFormat>
    <conditionalFormat type="all" priority="10">
      <pivotAreas count="1">
        <pivotArea type="data" collapsedLevelsAreSubtotals="1" fieldPosition="0">
          <references count="2">
            <reference field="4294967294" count="1" selected="0">
              <x v="6"/>
            </reference>
            <reference field="4" count="10">
              <x v="0"/>
              <x v="1"/>
              <x v="2"/>
              <x v="3"/>
              <x v="4"/>
              <x v="5"/>
              <x v="6"/>
              <x v="7"/>
              <x v="8"/>
              <x v="9"/>
            </reference>
          </references>
        </pivotArea>
      </pivotAreas>
    </conditionalFormat>
    <conditionalFormat type="all" priority="9">
      <pivotAreas count="1">
        <pivotArea type="data" collapsedLevelsAreSubtotals="1" fieldPosition="0">
          <references count="2">
            <reference field="4294967294" count="1" selected="0">
              <x v="6"/>
            </reference>
            <reference field="4" count="10">
              <x v="0"/>
              <x v="1"/>
              <x v="2"/>
              <x v="3"/>
              <x v="4"/>
              <x v="5"/>
              <x v="6"/>
              <x v="7"/>
              <x v="8"/>
              <x v="9"/>
            </reference>
          </references>
        </pivotArea>
      </pivotAreas>
    </conditionalFormat>
    <conditionalFormat type="all" priority="8">
      <pivotAreas count="1">
        <pivotArea type="data" collapsedLevelsAreSubtotals="1" fieldPosition="0">
          <references count="2">
            <reference field="4294967294" count="1" selected="0">
              <x v="7"/>
            </reference>
            <reference field="4" count="10">
              <x v="0"/>
              <x v="1"/>
              <x v="2"/>
              <x v="3"/>
              <x v="4"/>
              <x v="5"/>
              <x v="6"/>
              <x v="7"/>
              <x v="8"/>
              <x v="9"/>
            </reference>
          </references>
        </pivotArea>
      </pivotAreas>
    </conditionalFormat>
    <conditionalFormat type="all" priority="7">
      <pivotAreas count="1">
        <pivotArea type="data" collapsedLevelsAreSubtotals="1" fieldPosition="0">
          <references count="2">
            <reference field="4294967294" count="1" selected="0">
              <x v="7"/>
            </reference>
            <reference field="4" count="10">
              <x v="0"/>
              <x v="1"/>
              <x v="2"/>
              <x v="3"/>
              <x v="4"/>
              <x v="5"/>
              <x v="6"/>
              <x v="7"/>
              <x v="8"/>
              <x v="9"/>
            </reference>
          </references>
        </pivotArea>
      </pivotAreas>
    </conditionalFormat>
    <conditionalFormat type="all" priority="6">
      <pivotAreas count="1">
        <pivotArea type="data" collapsedLevelsAreSubtotals="1" fieldPosition="0">
          <references count="2">
            <reference field="4294967294" count="1" selected="0">
              <x v="8"/>
            </reference>
            <reference field="4" count="10">
              <x v="0"/>
              <x v="1"/>
              <x v="2"/>
              <x v="3"/>
              <x v="4"/>
              <x v="5"/>
              <x v="6"/>
              <x v="7"/>
              <x v="8"/>
              <x v="9"/>
            </reference>
          </references>
        </pivotArea>
      </pivotAreas>
    </conditionalFormat>
    <conditionalFormat type="all" priority="5">
      <pivotAreas count="1">
        <pivotArea type="data" collapsedLevelsAreSubtotals="1" fieldPosition="0">
          <references count="2">
            <reference field="4294967294" count="1" selected="0">
              <x v="8"/>
            </reference>
            <reference field="4" count="10">
              <x v="0"/>
              <x v="1"/>
              <x v="2"/>
              <x v="3"/>
              <x v="4"/>
              <x v="5"/>
              <x v="6"/>
              <x v="7"/>
              <x v="8"/>
              <x v="9"/>
            </reference>
          </references>
        </pivotArea>
      </pivotAreas>
    </conditionalFormat>
    <conditionalFormat type="all" priority="4">
      <pivotAreas count="1">
        <pivotArea type="data" collapsedLevelsAreSubtotals="1" fieldPosition="0">
          <references count="2">
            <reference field="4294967294" count="1" selected="0">
              <x v="9"/>
            </reference>
            <reference field="4" count="10">
              <x v="0"/>
              <x v="1"/>
              <x v="2"/>
              <x v="3"/>
              <x v="4"/>
              <x v="5"/>
              <x v="6"/>
              <x v="7"/>
              <x v="8"/>
              <x v="9"/>
            </reference>
          </references>
        </pivotArea>
      </pivotAreas>
    </conditionalFormat>
    <conditionalFormat type="all" priority="3">
      <pivotAreas count="1">
        <pivotArea type="data" collapsedLevelsAreSubtotals="1" fieldPosition="0">
          <references count="2">
            <reference field="4294967294" count="1" selected="0">
              <x v="9"/>
            </reference>
            <reference field="4" count="10">
              <x v="0"/>
              <x v="1"/>
              <x v="2"/>
              <x v="3"/>
              <x v="4"/>
              <x v="5"/>
              <x v="6"/>
              <x v="7"/>
              <x v="8"/>
              <x v="9"/>
            </reference>
          </references>
        </pivotArea>
      </pivotAreas>
    </conditionalFormat>
    <conditionalFormat type="all" priority="2">
      <pivotAreas count="1">
        <pivotArea type="data" collapsedLevelsAreSubtotals="1" fieldPosition="0">
          <references count="2">
            <reference field="4294967294" count="1" selected="0">
              <x v="0"/>
            </reference>
            <reference field="4" count="10">
              <x v="0"/>
              <x v="1"/>
              <x v="2"/>
              <x v="3"/>
              <x v="4"/>
              <x v="5"/>
              <x v="6"/>
              <x v="7"/>
              <x v="8"/>
              <x v="9"/>
            </reference>
          </references>
        </pivotArea>
      </pivotAreas>
    </conditionalFormat>
    <conditionalFormat type="all" priority="1">
      <pivotAreas count="1">
        <pivotArea type="data" collapsedLevelsAreSubtotals="1" fieldPosition="0">
          <references count="2">
            <reference field="4294967294" count="1" selected="0">
              <x v="0"/>
            </reference>
            <reference field="4"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B8A4F1-1EC2-4206-B0A1-37B93743F4F4}" name="PivotTable8" cacheId="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colHeaderCaption="Year">
  <location ref="A7:M22" firstHeaderRow="1" firstDataRow="3" firstDataCol="1"/>
  <pivotFields count="24">
    <pivotField showAll="0"/>
    <pivotField numFmtId="14" showAll="0"/>
    <pivotField axis="axisCol" showAll="0">
      <items count="2">
        <item x="0"/>
        <item t="default"/>
      </items>
    </pivotField>
    <pivotField axis="axisRow" showAll="0">
      <items count="13">
        <item x="10"/>
        <item x="11"/>
        <item x="4"/>
        <item x="6"/>
        <item x="0"/>
        <item x="1"/>
        <item x="2"/>
        <item x="9"/>
        <item x="5"/>
        <item x="7"/>
        <item x="8"/>
        <item x="3"/>
        <item t="default"/>
      </items>
    </pivotField>
    <pivotField showAll="0"/>
    <pivotField showAll="0"/>
    <pivotField showAll="0">
      <items count="4">
        <item x="1"/>
        <item x="2"/>
        <item x="0"/>
        <item t="default"/>
      </items>
    </pivotField>
    <pivotField dataField="1" showAll="0"/>
    <pivotField showAll="0"/>
    <pivotField dataField="1" showAll="0"/>
    <pivotField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6" showAll="0"/>
    <pivotField numFmtId="1" showAll="0"/>
    <pivotField showAll="0"/>
    <pivotField numFmtId="165" showAll="0"/>
    <pivotField showAll="0"/>
  </pivotFields>
  <rowFields count="1">
    <field x="3"/>
  </rowFields>
  <rowItems count="13">
    <i>
      <x/>
    </i>
    <i>
      <x v="1"/>
    </i>
    <i>
      <x v="2"/>
    </i>
    <i>
      <x v="3"/>
    </i>
    <i>
      <x v="4"/>
    </i>
    <i>
      <x v="5"/>
    </i>
    <i>
      <x v="6"/>
    </i>
    <i>
      <x v="7"/>
    </i>
    <i>
      <x v="8"/>
    </i>
    <i>
      <x v="9"/>
    </i>
    <i>
      <x v="10"/>
    </i>
    <i>
      <x v="11"/>
    </i>
    <i t="grand">
      <x/>
    </i>
  </rowItems>
  <colFields count="2">
    <field x="2"/>
    <field x="-2"/>
  </colFields>
  <colItems count="12">
    <i>
      <x/>
      <x/>
    </i>
    <i r="1" i="1">
      <x v="1"/>
    </i>
    <i r="1" i="2">
      <x v="2"/>
    </i>
    <i r="1" i="3">
      <x v="3"/>
    </i>
    <i r="1" i="4">
      <x v="4"/>
    </i>
    <i r="1" i="5">
      <x v="5"/>
    </i>
    <i r="1" i="6">
      <x v="6"/>
    </i>
    <i r="1" i="7">
      <x v="7"/>
    </i>
    <i r="1" i="8">
      <x v="8"/>
    </i>
    <i r="1" i="9">
      <x v="9"/>
    </i>
    <i r="1" i="10">
      <x v="10"/>
    </i>
    <i r="1" i="11">
      <x v="11"/>
    </i>
  </colItems>
  <dataFields count="12">
    <dataField name="_Passengers" fld="7" baseField="3" baseItem="0"/>
    <dataField name="Passengers Growth %" fld="7" showDataAs="percentDiff" baseField="3" baseItem="1048828" numFmtId="10"/>
    <dataField name="Seats Available" fld="9" baseField="3" baseItem="0"/>
    <dataField name="Ticket_Revenue" fld="12" baseField="3" baseItem="0"/>
    <dataField name="Cargo_Revenue" fld="13" baseField="3" baseItem="0"/>
    <dataField name="Total Revenue" fld="14" baseField="3" baseItem="0"/>
    <dataField name="Running Total Revenue %" fld="14" baseField="3" baseItem="0" numFmtId="10">
      <extLst>
        <ext xmlns:x14="http://schemas.microsoft.com/office/spreadsheetml/2009/9/main" uri="{E15A36E0-9728-4e99-A89B-3F7291B0FE68}">
          <x14:dataField pivotShowAs="percentOfRunningTotal"/>
        </ext>
      </extLst>
    </dataField>
    <dataField name="Operating_Cost" fld="16" baseField="3" baseItem="0"/>
    <dataField name="Fuel_Cost" fld="15" baseField="3" baseItem="0"/>
    <dataField name="_Total_Cost" fld="17" baseField="3" baseItem="0"/>
    <dataField name="_Total_Profit" fld="18" baseField="3" baseItem="0"/>
    <dataField name="Profit Margin_%" fld="19" baseField="3" baseItem="0"/>
  </dataFields>
  <formats count="1">
    <format dxfId="25">
      <pivotArea collapsedLevelsAreSubtotals="1" fieldPosition="0">
        <references count="3">
          <reference field="4294967294" count="1" selected="0">
            <x v="11"/>
          </reference>
          <reference field="2" count="0" selected="0"/>
          <reference field="3" count="0"/>
        </references>
      </pivotArea>
    </format>
  </formats>
  <conditionalFormats count="22">
    <conditionalFormat type="all" priority="22">
      <pivotAreas count="1">
        <pivotArea type="data" collapsedLevelsAreSubtotals="1" fieldPosition="0">
          <references count="3">
            <reference field="4294967294" count="1" selected="0">
              <x v="0"/>
            </reference>
            <reference field="2" count="1" selected="0">
              <x v="0"/>
            </reference>
            <reference field="3" count="12">
              <x v="0"/>
              <x v="1"/>
              <x v="2"/>
              <x v="3"/>
              <x v="4"/>
              <x v="5"/>
              <x v="6"/>
              <x v="7"/>
              <x v="8"/>
              <x v="9"/>
              <x v="10"/>
              <x v="11"/>
            </reference>
          </references>
        </pivotArea>
      </pivotAreas>
    </conditionalFormat>
    <conditionalFormat type="all" priority="21">
      <pivotAreas count="1">
        <pivotArea type="data" collapsedLevelsAreSubtotals="1" fieldPosition="0">
          <references count="3">
            <reference field="4294967294" count="1" selected="0">
              <x v="0"/>
            </reference>
            <reference field="2" count="1" selected="0">
              <x v="0"/>
            </reference>
            <reference field="3" count="12">
              <x v="0"/>
              <x v="1"/>
              <x v="2"/>
              <x v="3"/>
              <x v="4"/>
              <x v="5"/>
              <x v="6"/>
              <x v="7"/>
              <x v="8"/>
              <x v="9"/>
              <x v="10"/>
              <x v="11"/>
            </reference>
          </references>
        </pivotArea>
      </pivotAreas>
    </conditionalFormat>
    <conditionalFormat type="all" priority="20">
      <pivotAreas count="1">
        <pivotArea type="data" collapsedLevelsAreSubtotals="1" fieldPosition="0">
          <references count="3">
            <reference field="4294967294" count="1" selected="0">
              <x v="1"/>
            </reference>
            <reference field="2" count="1" selected="0">
              <x v="0"/>
            </reference>
            <reference field="3" count="12">
              <x v="0"/>
              <x v="1"/>
              <x v="2"/>
              <x v="3"/>
              <x v="4"/>
              <x v="5"/>
              <x v="6"/>
              <x v="7"/>
              <x v="8"/>
              <x v="9"/>
              <x v="10"/>
              <x v="11"/>
            </reference>
          </references>
        </pivotArea>
      </pivotAreas>
    </conditionalFormat>
    <conditionalFormat type="all" priority="19">
      <pivotAreas count="1">
        <pivotArea type="data" collapsedLevelsAreSubtotals="1" fieldPosition="0">
          <references count="3">
            <reference field="4294967294" count="1" selected="0">
              <x v="1"/>
            </reference>
            <reference field="2" count="1" selected="0">
              <x v="0"/>
            </reference>
            <reference field="3" count="12">
              <x v="0"/>
              <x v="1"/>
              <x v="2"/>
              <x v="3"/>
              <x v="4"/>
              <x v="5"/>
              <x v="6"/>
              <x v="7"/>
              <x v="8"/>
              <x v="9"/>
              <x v="10"/>
              <x v="11"/>
            </reference>
          </references>
        </pivotArea>
      </pivotAreas>
    </conditionalFormat>
    <conditionalFormat type="all" priority="18">
      <pivotAreas count="1">
        <pivotArea type="data" collapsedLevelsAreSubtotals="1" fieldPosition="0">
          <references count="3">
            <reference field="4294967294" count="1" selected="0">
              <x v="2"/>
            </reference>
            <reference field="2" count="1" selected="0">
              <x v="0"/>
            </reference>
            <reference field="3" count="12">
              <x v="0"/>
              <x v="1"/>
              <x v="2"/>
              <x v="3"/>
              <x v="4"/>
              <x v="5"/>
              <x v="6"/>
              <x v="7"/>
              <x v="8"/>
              <x v="9"/>
              <x v="10"/>
              <x v="11"/>
            </reference>
          </references>
        </pivotArea>
      </pivotAreas>
    </conditionalFormat>
    <conditionalFormat type="all" priority="17">
      <pivotAreas count="1">
        <pivotArea type="data" collapsedLevelsAreSubtotals="1" fieldPosition="0">
          <references count="3">
            <reference field="4294967294" count="1" selected="0">
              <x v="2"/>
            </reference>
            <reference field="2" count="1" selected="0">
              <x v="0"/>
            </reference>
            <reference field="3" count="12">
              <x v="0"/>
              <x v="1"/>
              <x v="2"/>
              <x v="3"/>
              <x v="4"/>
              <x v="5"/>
              <x v="6"/>
              <x v="7"/>
              <x v="8"/>
              <x v="9"/>
              <x v="10"/>
              <x v="11"/>
            </reference>
          </references>
        </pivotArea>
      </pivotAreas>
    </conditionalFormat>
    <conditionalFormat type="all" priority="16">
      <pivotAreas count="1">
        <pivotArea type="data" collapsedLevelsAreSubtotals="1" fieldPosition="0">
          <references count="3">
            <reference field="4294967294" count="1" selected="0">
              <x v="3"/>
            </reference>
            <reference field="2" count="1" selected="0">
              <x v="0"/>
            </reference>
            <reference field="3" count="12">
              <x v="0"/>
              <x v="1"/>
              <x v="2"/>
              <x v="3"/>
              <x v="4"/>
              <x v="5"/>
              <x v="6"/>
              <x v="7"/>
              <x v="8"/>
              <x v="9"/>
              <x v="10"/>
              <x v="11"/>
            </reference>
          </references>
        </pivotArea>
      </pivotAreas>
    </conditionalFormat>
    <conditionalFormat type="all" priority="15">
      <pivotAreas count="1">
        <pivotArea type="data" collapsedLevelsAreSubtotals="1" fieldPosition="0">
          <references count="3">
            <reference field="4294967294" count="1" selected="0">
              <x v="3"/>
            </reference>
            <reference field="2" count="1" selected="0">
              <x v="0"/>
            </reference>
            <reference field="3" count="12">
              <x v="0"/>
              <x v="1"/>
              <x v="2"/>
              <x v="3"/>
              <x v="4"/>
              <x v="5"/>
              <x v="6"/>
              <x v="7"/>
              <x v="8"/>
              <x v="9"/>
              <x v="10"/>
              <x v="11"/>
            </reference>
          </references>
        </pivotArea>
      </pivotAreas>
    </conditionalFormat>
    <conditionalFormat type="all" priority="14">
      <pivotAreas count="1">
        <pivotArea type="data" collapsedLevelsAreSubtotals="1" fieldPosition="0">
          <references count="3">
            <reference field="4294967294" count="1" selected="0">
              <x v="4"/>
            </reference>
            <reference field="2" count="1" selected="0">
              <x v="0"/>
            </reference>
            <reference field="3" count="12">
              <x v="0"/>
              <x v="1"/>
              <x v="2"/>
              <x v="3"/>
              <x v="4"/>
              <x v="5"/>
              <x v="6"/>
              <x v="7"/>
              <x v="8"/>
              <x v="9"/>
              <x v="10"/>
              <x v="11"/>
            </reference>
          </references>
        </pivotArea>
      </pivotAreas>
    </conditionalFormat>
    <conditionalFormat type="all" priority="13">
      <pivotAreas count="1">
        <pivotArea type="data" collapsedLevelsAreSubtotals="1" fieldPosition="0">
          <references count="3">
            <reference field="4294967294" count="1" selected="0">
              <x v="4"/>
            </reference>
            <reference field="2" count="1" selected="0">
              <x v="0"/>
            </reference>
            <reference field="3" count="12">
              <x v="0"/>
              <x v="1"/>
              <x v="2"/>
              <x v="3"/>
              <x v="4"/>
              <x v="5"/>
              <x v="6"/>
              <x v="7"/>
              <x v="8"/>
              <x v="9"/>
              <x v="10"/>
              <x v="11"/>
            </reference>
          </references>
        </pivotArea>
      </pivotAreas>
    </conditionalFormat>
    <conditionalFormat type="all" priority="12">
      <pivotAreas count="1">
        <pivotArea type="data" collapsedLevelsAreSubtotals="1" fieldPosition="0">
          <references count="3">
            <reference field="4294967294" count="1" selected="0">
              <x v="5"/>
            </reference>
            <reference field="2" count="1" selected="0">
              <x v="0"/>
            </reference>
            <reference field="3" count="12">
              <x v="0"/>
              <x v="1"/>
              <x v="2"/>
              <x v="3"/>
              <x v="4"/>
              <x v="5"/>
              <x v="6"/>
              <x v="7"/>
              <x v="8"/>
              <x v="9"/>
              <x v="10"/>
              <x v="11"/>
            </reference>
          </references>
        </pivotArea>
      </pivotAreas>
    </conditionalFormat>
    <conditionalFormat type="all" priority="11">
      <pivotAreas count="1">
        <pivotArea type="data" collapsedLevelsAreSubtotals="1" fieldPosition="0">
          <references count="3">
            <reference field="4294967294" count="1" selected="0">
              <x v="5"/>
            </reference>
            <reference field="2" count="1" selected="0">
              <x v="0"/>
            </reference>
            <reference field="3" count="12">
              <x v="0"/>
              <x v="1"/>
              <x v="2"/>
              <x v="3"/>
              <x v="4"/>
              <x v="5"/>
              <x v="6"/>
              <x v="7"/>
              <x v="8"/>
              <x v="9"/>
              <x v="10"/>
              <x v="11"/>
            </reference>
          </references>
        </pivotArea>
      </pivotAreas>
    </conditionalFormat>
    <conditionalFormat type="all" priority="10">
      <pivotAreas count="1">
        <pivotArea type="data" collapsedLevelsAreSubtotals="1" fieldPosition="0">
          <references count="3">
            <reference field="4294967294" count="1" selected="0">
              <x v="7"/>
            </reference>
            <reference field="2" count="1" selected="0">
              <x v="0"/>
            </reference>
            <reference field="3" count="12">
              <x v="0"/>
              <x v="1"/>
              <x v="2"/>
              <x v="3"/>
              <x v="4"/>
              <x v="5"/>
              <x v="6"/>
              <x v="7"/>
              <x v="8"/>
              <x v="9"/>
              <x v="10"/>
              <x v="11"/>
            </reference>
          </references>
        </pivotArea>
      </pivotAreas>
    </conditionalFormat>
    <conditionalFormat type="all" priority="9">
      <pivotAreas count="1">
        <pivotArea type="data" collapsedLevelsAreSubtotals="1" fieldPosition="0">
          <references count="3">
            <reference field="4294967294" count="1" selected="0">
              <x v="7"/>
            </reference>
            <reference field="2" count="1" selected="0">
              <x v="0"/>
            </reference>
            <reference field="3" count="12">
              <x v="0"/>
              <x v="1"/>
              <x v="2"/>
              <x v="3"/>
              <x v="4"/>
              <x v="5"/>
              <x v="6"/>
              <x v="7"/>
              <x v="8"/>
              <x v="9"/>
              <x v="10"/>
              <x v="11"/>
            </reference>
          </references>
        </pivotArea>
      </pivotAreas>
    </conditionalFormat>
    <conditionalFormat type="all" priority="8">
      <pivotAreas count="1">
        <pivotArea type="data" collapsedLevelsAreSubtotals="1" fieldPosition="0">
          <references count="3">
            <reference field="4294967294" count="1" selected="0">
              <x v="8"/>
            </reference>
            <reference field="2" count="1" selected="0">
              <x v="0"/>
            </reference>
            <reference field="3" count="12">
              <x v="0"/>
              <x v="1"/>
              <x v="2"/>
              <x v="3"/>
              <x v="4"/>
              <x v="5"/>
              <x v="6"/>
              <x v="7"/>
              <x v="8"/>
              <x v="9"/>
              <x v="10"/>
              <x v="11"/>
            </reference>
          </references>
        </pivotArea>
      </pivotAreas>
    </conditionalFormat>
    <conditionalFormat type="all" priority="7">
      <pivotAreas count="1">
        <pivotArea type="data" collapsedLevelsAreSubtotals="1" fieldPosition="0">
          <references count="3">
            <reference field="4294967294" count="1" selected="0">
              <x v="8"/>
            </reference>
            <reference field="2" count="1" selected="0">
              <x v="0"/>
            </reference>
            <reference field="3" count="12">
              <x v="0"/>
              <x v="1"/>
              <x v="2"/>
              <x v="3"/>
              <x v="4"/>
              <x v="5"/>
              <x v="6"/>
              <x v="7"/>
              <x v="8"/>
              <x v="9"/>
              <x v="10"/>
              <x v="11"/>
            </reference>
          </references>
        </pivotArea>
      </pivotAreas>
    </conditionalFormat>
    <conditionalFormat type="all" priority="6">
      <pivotAreas count="1">
        <pivotArea type="data" collapsedLevelsAreSubtotals="1" fieldPosition="0">
          <references count="3">
            <reference field="4294967294" count="1" selected="0">
              <x v="9"/>
            </reference>
            <reference field="2" count="1" selected="0">
              <x v="0"/>
            </reference>
            <reference field="3" count="12">
              <x v="0"/>
              <x v="1"/>
              <x v="2"/>
              <x v="3"/>
              <x v="4"/>
              <x v="5"/>
              <x v="6"/>
              <x v="7"/>
              <x v="8"/>
              <x v="9"/>
              <x v="10"/>
              <x v="11"/>
            </reference>
          </references>
        </pivotArea>
      </pivotAreas>
    </conditionalFormat>
    <conditionalFormat type="all" priority="5">
      <pivotAreas count="1">
        <pivotArea type="data" collapsedLevelsAreSubtotals="1" fieldPosition="0">
          <references count="3">
            <reference field="4294967294" count="1" selected="0">
              <x v="9"/>
            </reference>
            <reference field="2" count="1" selected="0">
              <x v="0"/>
            </reference>
            <reference field="3" count="12">
              <x v="0"/>
              <x v="1"/>
              <x v="2"/>
              <x v="3"/>
              <x v="4"/>
              <x v="5"/>
              <x v="6"/>
              <x v="7"/>
              <x v="8"/>
              <x v="9"/>
              <x v="10"/>
              <x v="11"/>
            </reference>
          </references>
        </pivotArea>
      </pivotAreas>
    </conditionalFormat>
    <conditionalFormat type="all" priority="4">
      <pivotAreas count="1">
        <pivotArea type="data" collapsedLevelsAreSubtotals="1" fieldPosition="0">
          <references count="3">
            <reference field="4294967294" count="1" selected="0">
              <x v="10"/>
            </reference>
            <reference field="2" count="1" selected="0">
              <x v="0"/>
            </reference>
            <reference field="3" count="12">
              <x v="0"/>
              <x v="1"/>
              <x v="2"/>
              <x v="3"/>
              <x v="4"/>
              <x v="5"/>
              <x v="6"/>
              <x v="7"/>
              <x v="8"/>
              <x v="9"/>
              <x v="10"/>
              <x v="11"/>
            </reference>
          </references>
        </pivotArea>
      </pivotAreas>
    </conditionalFormat>
    <conditionalFormat type="all" priority="3">
      <pivotAreas count="1">
        <pivotArea type="data" collapsedLevelsAreSubtotals="1" fieldPosition="0">
          <references count="3">
            <reference field="4294967294" count="1" selected="0">
              <x v="10"/>
            </reference>
            <reference field="2" count="1" selected="0">
              <x v="0"/>
            </reference>
            <reference field="3" count="12">
              <x v="0"/>
              <x v="1"/>
              <x v="2"/>
              <x v="3"/>
              <x v="4"/>
              <x v="5"/>
              <x v="6"/>
              <x v="7"/>
              <x v="8"/>
              <x v="9"/>
              <x v="10"/>
              <x v="11"/>
            </reference>
          </references>
        </pivotArea>
      </pivotAreas>
    </conditionalFormat>
    <conditionalFormat type="all" priority="2">
      <pivotAreas count="1">
        <pivotArea type="data" collapsedLevelsAreSubtotals="1" fieldPosition="0">
          <references count="3">
            <reference field="4294967294" count="1" selected="0">
              <x v="11"/>
            </reference>
            <reference field="2" count="1" selected="0">
              <x v="0"/>
            </reference>
            <reference field="3" count="12">
              <x v="0"/>
              <x v="1"/>
              <x v="2"/>
              <x v="3"/>
              <x v="4"/>
              <x v="5"/>
              <x v="6"/>
              <x v="7"/>
              <x v="8"/>
              <x v="9"/>
              <x v="10"/>
              <x v="11"/>
            </reference>
          </references>
        </pivotArea>
      </pivotAreas>
    </conditionalFormat>
    <conditionalFormat type="all" priority="1">
      <pivotAreas count="1">
        <pivotArea type="data" collapsedLevelsAreSubtotals="1" fieldPosition="0">
          <references count="3">
            <reference field="4294967294" count="1" selected="0">
              <x v="11"/>
            </reference>
            <reference field="2" count="1" selected="0">
              <x v="0"/>
            </reference>
            <reference field="3"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550F2D-FFF4-40DD-9F1A-C31F8B15DACE}" autoFormatId="16" applyNumberFormats="0" applyBorderFormats="0" applyFontFormats="0" applyPatternFormats="0" applyAlignmentFormats="0" applyWidthHeightFormats="0">
  <queryTableRefresh nextId="25" unboundColumnsRight="1">
    <queryTableFields count="24">
      <queryTableField id="1" name="Flight_ID" tableColumnId="1"/>
      <queryTableField id="2" name="Date" tableColumnId="2"/>
      <queryTableField id="18" dataBound="0" tableColumnId="18"/>
      <queryTableField id="19" dataBound="0" tableColumnId="19"/>
      <queryTableField id="3" name="Route" tableColumnId="3"/>
      <queryTableField id="24" dataBound="0" tableColumnId="24"/>
      <queryTableField id="4" name="Aircraft_Type" tableColumnId="4"/>
      <queryTableField id="5" name="Passengers" tableColumnId="5"/>
      <queryTableField id="6" name="Seat_Capacity" tableColumnId="6"/>
      <queryTableField id="17" dataBound="0" tableColumnId="17"/>
      <queryTableField id="7" name="Load_Factor_%" tableColumnId="7"/>
      <queryTableField id="16" dataBound="0" tableColumnId="16"/>
      <queryTableField id="8" name="Ticket_Revenue_INR" tableColumnId="8"/>
      <queryTableField id="9" name="Cargo_Revenue_INR" tableColumnId="9"/>
      <queryTableField id="20" dataBound="0" tableColumnId="20"/>
      <queryTableField id="10" name="Fuel_Cost_INR" tableColumnId="10"/>
      <queryTableField id="11" name="Operating_Cost_INR" tableColumnId="11"/>
      <queryTableField id="21" dataBound="0" tableColumnId="21"/>
      <queryTableField id="22" dataBound="0" tableColumnId="22"/>
      <queryTableField id="23" dataBound="0" tableColumnId="23"/>
      <queryTableField id="12" name="Delay_Minutes" tableColumnId="12"/>
      <queryTableField id="13" name="On_Time" tableColumnId="13"/>
      <queryTableField id="14" name="Customer_Rating"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_Type" xr10:uid="{382292E8-47B3-4744-91BB-8413359A00BD}" sourceName="Aircraft_Type">
  <pivotTables>
    <pivotTable tabId="5" name="PivotTable7"/>
  </pivotTables>
  <data>
    <tabular pivotCacheId="213916521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_Type1" xr10:uid="{421D69C8-090D-40EB-BE3A-4B7612B97CFA}" sourceName="Aircraft_Type">
  <pivotTables>
    <pivotTable tabId="6" name="PivotTable8"/>
  </pivotTables>
  <data>
    <tabular pivotCacheId="213916521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craft_Type" xr10:uid="{F7D631CC-1CC5-4B61-966F-4F6C4DA5FBE2}" cache="Slicer_Aircraft_Type" caption="Aircraft_Typ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craft_Type 1" xr10:uid="{A8B67ACC-B273-4096-A685-16DEECAD5AFC}" cache="Slicer_Aircraft_Type1" caption="Aircraft_Type" columnCoun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F96081-B1EE-4585-AC2D-A774FA34040C}" name="Table1_1" displayName="Table1_1" ref="A1:X501" tableType="queryTable" totalsRowShown="0">
  <autoFilter ref="A1:X501" xr:uid="{E2F96081-B1EE-4585-AC2D-A774FA34040C}"/>
  <tableColumns count="24">
    <tableColumn id="1" xr3:uid="{0EA41397-3852-44B9-BAB0-66088BAA60FF}" uniqueName="1" name="Flight_ID" queryTableFieldId="1" dataDxfId="17"/>
    <tableColumn id="2" xr3:uid="{3DF002F8-9098-483F-9960-7380E7C19E9B}" uniqueName="2" name="Date" queryTableFieldId="2" dataDxfId="16"/>
    <tableColumn id="18" xr3:uid="{B9B8427D-9B37-4FF1-AD80-66180B81A58B}" uniqueName="18" name="Year" queryTableFieldId="18" dataDxfId="15">
      <calculatedColumnFormula>TEXT(Table1_1[[#This Row],[Date]],"YYYY")</calculatedColumnFormula>
    </tableColumn>
    <tableColumn id="19" xr3:uid="{A964D332-5EE2-4343-864B-92BEA0408F57}" uniqueName="19" name="Month" queryTableFieldId="19" dataDxfId="14">
      <calculatedColumnFormula>TEXT(Table1_1[[#This Row],[Date]],"mmm")</calculatedColumnFormula>
    </tableColumn>
    <tableColumn id="3" xr3:uid="{A3AA9496-C226-442C-B82E-AE5D0043D368}" uniqueName="3" name="Route" queryTableFieldId="3" dataDxfId="13"/>
    <tableColumn id="24" xr3:uid="{147D5411-668C-4BC7-96AB-70C2EA652A85}" uniqueName="24" name="Route Name" queryTableFieldId="24" dataDxfId="12">
      <calculatedColumnFormula>INDEX(IndiGo_Flight_Data!$R$2:$R$11,MATCH(Table1_1[[#This Row],[Route]],_xlfn.ANCHORARRAY(IndiGo_Flight_Data!$Q$2),0))</calculatedColumnFormula>
    </tableColumn>
    <tableColumn id="4" xr3:uid="{C386BBBC-2FF2-427C-A660-C30C1D0673A1}" uniqueName="4" name="Aircraft_Type" queryTableFieldId="4" dataDxfId="11"/>
    <tableColumn id="5" xr3:uid="{B7F6B714-AF4E-4A80-826B-A1AE851ADDC5}" uniqueName="5" name="Passengers" queryTableFieldId="5"/>
    <tableColumn id="6" xr3:uid="{B1C44E86-B29F-457C-9764-9644B46B8F9A}" uniqueName="6" name="Seat_Capacity" queryTableFieldId="6"/>
    <tableColumn id="17" xr3:uid="{5BB19AAD-CF29-4F65-866D-2EBA0CD67044}" uniqueName="17" name="Seats_Available" queryTableFieldId="17" dataDxfId="24">
      <calculatedColumnFormula>Table1_1[[#This Row],[Seat_Capacity]]-Table1_1[[#This Row],[Passengers]]</calculatedColumnFormula>
    </tableColumn>
    <tableColumn id="7" xr3:uid="{30BBC1A3-A695-4D41-BF02-B267D3EE307A}" uniqueName="7" name="Load_Factor_%" queryTableFieldId="7"/>
    <tableColumn id="16" xr3:uid="{E6B93A3E-12AB-4A6B-A2CA-16432F205F96}" uniqueName="16" name="Factor_Level" queryTableFieldId="16" dataDxfId="23">
      <calculatedColumnFormula array="1">_xlfn.IFS(Table1_1[[#This Row],[Load_Factor_%]]&lt;60,"Low",Table1_1[[#This Row],[Load_Factor_%]]&lt;85,"Intermediate",Table1_1[[#This Row],[Load_Factor_%]]&gt;=85,"High")</calculatedColumnFormula>
    </tableColumn>
    <tableColumn id="8" xr3:uid="{DC547F2B-5080-43F5-911E-33D5D8A65066}" uniqueName="8" name="Ticket_Revenue_INR" queryTableFieldId="8" dataDxfId="10"/>
    <tableColumn id="9" xr3:uid="{BD766F39-5DA8-4687-9FD5-F59F74C11457}" uniqueName="9" name="Cargo_Revenue_INR" queryTableFieldId="9" dataDxfId="9"/>
    <tableColumn id="20" xr3:uid="{341DF9E4-49E3-4A3D-AC79-AAD45A375AE7}" uniqueName="20" name="Total_Revenue" queryTableFieldId="20" dataDxfId="8">
      <calculatedColumnFormula>SUM(Table1_1[[#This Row],[Ticket_Revenue_INR]:[Cargo_Revenue_INR]])</calculatedColumnFormula>
    </tableColumn>
    <tableColumn id="10" xr3:uid="{3F1247DA-D5AC-43A2-93F2-7DA69808DDA0}" uniqueName="10" name="Fuel_Cost_INR" queryTableFieldId="10" dataDxfId="7"/>
    <tableColumn id="11" xr3:uid="{831CDAFF-F14D-4149-AEEE-F513D67A0A08}" uniqueName="11" name="Operating_Cost_INR" queryTableFieldId="11" dataDxfId="6"/>
    <tableColumn id="21" xr3:uid="{44185625-E84C-4DA1-A552-99EB3BBC358A}" uniqueName="21" name="Total_Cost" queryTableFieldId="21" dataDxfId="5">
      <calculatedColumnFormula>SUM(Table1_1[[#This Row],[Fuel_Cost_INR]:[Operating_Cost_INR]])</calculatedColumnFormula>
    </tableColumn>
    <tableColumn id="22" xr3:uid="{E66863FE-673A-49E4-A159-273EDEF5A905}" uniqueName="22" name="Total_Profit" queryTableFieldId="22" dataDxfId="4">
      <calculatedColumnFormula>Table1_1[[#This Row],[Total_Revenue]]-Table1_1[[#This Row],[Total_Cost]]</calculatedColumnFormula>
    </tableColumn>
    <tableColumn id="23" xr3:uid="{5FCF7C37-FB93-44D3-ACEC-A5D0887C720A}" uniqueName="23" name="Profit_Margin_%" queryTableFieldId="23" dataDxfId="3" dataCellStyle="Percent">
      <calculatedColumnFormula>(Table1_1[[#This Row],[Total_Profit]]/Table1_1[[#This Row],[Total_Revenue]])</calculatedColumnFormula>
    </tableColumn>
    <tableColumn id="12" xr3:uid="{6A380ACD-A295-4338-A4E1-C5BE19AD727D}" uniqueName="12" name="Delay_Minutes" queryTableFieldId="12" dataDxfId="2"/>
    <tableColumn id="13" xr3:uid="{BDD0C4B9-FD2D-4671-B738-B38B86F4A476}" uniqueName="13" name="On_Time" queryTableFieldId="13" dataDxfId="1"/>
    <tableColumn id="14" xr3:uid="{AC9D49C5-E68D-4A00-B5A5-E89247DC7A9B}" uniqueName="14" name="Customer_Rating" queryTableFieldId="14" dataDxfId="0"/>
    <tableColumn id="15" xr3:uid="{173AAF92-03B1-4A73-9607-DBA006764B04}" uniqueName="15" name="Satisfaction Level" queryTableFieldId="15" dataDxfId="22">
      <calculatedColumnFormula array="1">_xlfn.IFS(Table1_1[[#This Row],[Customer_Rating]]&lt;3,"Poor",Table1_1[[#This Row],[Customer_Rating]]&lt;4,"Good",Table1_1[[#This Row],[Customer_Rating]]&gt;=4,"Excellent")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21E6B-4FB2-45CA-BAB1-46AA1D1607CD}" name="Table1" displayName="Table1" ref="A1:N501" totalsRowShown="0" headerRowDxfId="21">
  <autoFilter ref="A1:N501" xr:uid="{E5021E6B-4FB2-45CA-BAB1-46AA1D1607CD}"/>
  <tableColumns count="14">
    <tableColumn id="1" xr3:uid="{772CC836-FD1A-420D-93BB-791B8D399B65}" name="Flight_ID"/>
    <tableColumn id="2" xr3:uid="{B237C248-7619-47B6-886E-4CC100600D61}" name="Date"/>
    <tableColumn id="3" xr3:uid="{7B6E0F41-70C4-4951-A5CF-08ECF32710C4}" name="Route"/>
    <tableColumn id="4" xr3:uid="{D647FBDE-CB71-459D-8C4F-FD445EB918EE}" name="Aircraft_Type"/>
    <tableColumn id="5" xr3:uid="{0091510F-7033-4D53-B7FD-AE0005206FCE}" name="Passengers"/>
    <tableColumn id="6" xr3:uid="{73DF1298-8C6F-422F-B1D6-E4789E3DCB71}" name="Seat_Capacity"/>
    <tableColumn id="7" xr3:uid="{2DE2BB7C-513C-4519-ADE0-87DB2E5142B4}" name="Load_Factor_%"/>
    <tableColumn id="8" xr3:uid="{335D382F-A3E5-406A-A227-7BA291A26F53}" name="Ticket_Revenue_INR"/>
    <tableColumn id="9" xr3:uid="{E9F11633-5B83-4908-B80C-2E3258D37854}" name="Cargo_Revenue_INR"/>
    <tableColumn id="10" xr3:uid="{05D3372F-17DA-4F28-803D-FE9CF5E8772F}" name="Fuel_Cost_INR"/>
    <tableColumn id="11" xr3:uid="{C4B3A3B9-5809-4871-BD0C-E16C86245276}" name="Operating_Cost_INR"/>
    <tableColumn id="12" xr3:uid="{9E4BD181-E226-4185-8036-22EE3466284A}" name="Delay_Minutes"/>
    <tableColumn id="13" xr3:uid="{F8561D58-5D1F-4DEF-8700-64D51E6C42EA}" name="On_Time"/>
    <tableColumn id="14" xr3:uid="{743EE681-ED3D-4866-9352-59FB4348C8C3}" name="Customer_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B37D-FB3C-42B2-900D-FCED18F95659}">
  <dimension ref="A3:G15"/>
  <sheetViews>
    <sheetView workbookViewId="0">
      <selection activeCell="G21" sqref="G21"/>
    </sheetView>
  </sheetViews>
  <sheetFormatPr defaultRowHeight="14.5" x14ac:dyDescent="0.35"/>
  <cols>
    <col min="1" max="1" width="19.453125" bestFit="1" customWidth="1"/>
    <col min="2" max="2" width="19.26953125" bestFit="1" customWidth="1"/>
    <col min="3" max="3" width="10.26953125" bestFit="1" customWidth="1"/>
    <col min="4" max="4" width="13.81640625" bestFit="1" customWidth="1"/>
    <col min="5" max="5" width="14.90625" bestFit="1" customWidth="1"/>
    <col min="6" max="6" width="10.81640625" bestFit="1" customWidth="1"/>
    <col min="7" max="7" width="11.81640625" bestFit="1" customWidth="1"/>
    <col min="8" max="8" width="21.453125" bestFit="1" customWidth="1"/>
  </cols>
  <sheetData>
    <row r="3" spans="1:7" x14ac:dyDescent="0.35">
      <c r="A3" t="s">
        <v>812</v>
      </c>
      <c r="B3" t="s">
        <v>813</v>
      </c>
      <c r="C3" t="s">
        <v>814</v>
      </c>
      <c r="D3" t="s">
        <v>815</v>
      </c>
      <c r="E3" t="s">
        <v>816</v>
      </c>
      <c r="F3" t="s">
        <v>817</v>
      </c>
      <c r="G3" t="s">
        <v>818</v>
      </c>
    </row>
    <row r="4" spans="1:7" x14ac:dyDescent="0.35">
      <c r="A4" s="2">
        <v>397071412</v>
      </c>
      <c r="B4" s="2">
        <v>41230104</v>
      </c>
      <c r="C4" s="2">
        <v>438301516</v>
      </c>
      <c r="D4" s="2">
        <v>367785528</v>
      </c>
      <c r="E4" s="2">
        <v>573580230</v>
      </c>
      <c r="F4" s="2">
        <v>941365758</v>
      </c>
      <c r="G4" s="2">
        <v>-503064242</v>
      </c>
    </row>
    <row r="8" spans="1:7" x14ac:dyDescent="0.35">
      <c r="A8" t="s">
        <v>822</v>
      </c>
      <c r="B8" t="s">
        <v>821</v>
      </c>
      <c r="C8" t="s">
        <v>820</v>
      </c>
      <c r="D8" t="s">
        <v>819</v>
      </c>
    </row>
    <row r="9" spans="1:7" x14ac:dyDescent="0.35">
      <c r="A9" s="2">
        <v>-867.89026671789748</v>
      </c>
      <c r="B9" s="2">
        <v>46.582000000000001</v>
      </c>
      <c r="C9" s="2">
        <v>63232</v>
      </c>
      <c r="D9" s="2">
        <v>17030</v>
      </c>
    </row>
    <row r="11" spans="1:7" x14ac:dyDescent="0.35">
      <c r="A11" s="17" t="s">
        <v>838</v>
      </c>
      <c r="B11" s="18"/>
    </row>
    <row r="13" spans="1:7" x14ac:dyDescent="0.35">
      <c r="A13" s="10" t="s">
        <v>837</v>
      </c>
      <c r="B13" s="10" t="s">
        <v>806</v>
      </c>
      <c r="D13" s="10" t="s">
        <v>839</v>
      </c>
      <c r="E13" t="s">
        <v>837</v>
      </c>
    </row>
    <row r="14" spans="1:7" x14ac:dyDescent="0.35">
      <c r="A14" s="10" t="s">
        <v>807</v>
      </c>
      <c r="B14" t="s">
        <v>836</v>
      </c>
      <c r="D14" s="11" t="s">
        <v>43</v>
      </c>
      <c r="E14" s="2">
        <v>28283</v>
      </c>
    </row>
    <row r="15" spans="1:7" x14ac:dyDescent="0.35">
      <c r="A15" s="11" t="s">
        <v>829</v>
      </c>
      <c r="B15" s="2">
        <v>6911</v>
      </c>
    </row>
  </sheetData>
  <mergeCells count="1">
    <mergeCell ref="A11:B11"/>
  </mergeCells>
  <conditionalFormatting sqref="D14">
    <cfRule type="top10" dxfId="93" priority="3" rank="1"/>
  </conditionalFormatting>
  <conditionalFormatting pivot="1" sqref="E14">
    <cfRule type="top10" dxfId="92" priority="2" rank="1"/>
  </conditionalFormatting>
  <conditionalFormatting pivot="1" sqref="B15">
    <cfRule type="top10" dxfId="91" priority="1" rank="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23E2-B056-46B2-9AA5-4FEA0B73FDE9}">
  <dimension ref="A2:P9"/>
  <sheetViews>
    <sheetView workbookViewId="0">
      <selection activeCell="C13" sqref="C13"/>
    </sheetView>
  </sheetViews>
  <sheetFormatPr defaultRowHeight="14.5" x14ac:dyDescent="0.35"/>
  <cols>
    <col min="1" max="1" width="13.81640625" bestFit="1" customWidth="1"/>
    <col min="2" max="2" width="13" bestFit="1" customWidth="1"/>
    <col min="3" max="3" width="11.81640625" bestFit="1" customWidth="1"/>
    <col min="4" max="4" width="4.1796875" bestFit="1" customWidth="1"/>
    <col min="5" max="5" width="10.7265625" bestFit="1" customWidth="1"/>
    <col min="7" max="7" width="13.81640625" bestFit="1" customWidth="1"/>
    <col min="8" max="8" width="18.7265625" bestFit="1" customWidth="1"/>
    <col min="9" max="9" width="18.90625" bestFit="1" customWidth="1"/>
    <col min="10" max="10" width="13.90625" bestFit="1" customWidth="1"/>
    <col min="11" max="11" width="14.36328125" bestFit="1" customWidth="1"/>
    <col min="12" max="12" width="9.81640625" bestFit="1" customWidth="1"/>
    <col min="13" max="13" width="14" bestFit="1" customWidth="1"/>
    <col min="14" max="14" width="11.26953125" bestFit="1" customWidth="1"/>
    <col min="15" max="15" width="11.81640625" bestFit="1" customWidth="1"/>
    <col min="16" max="16" width="16" bestFit="1" customWidth="1"/>
    <col min="17" max="18" width="21.453125" bestFit="1" customWidth="1"/>
  </cols>
  <sheetData>
    <row r="2" spans="1:16" x14ac:dyDescent="0.35">
      <c r="A2" s="17" t="s">
        <v>844</v>
      </c>
      <c r="B2" s="18"/>
      <c r="C2" s="18"/>
      <c r="D2" s="18"/>
      <c r="E2" s="18"/>
      <c r="G2" s="17" t="s">
        <v>853</v>
      </c>
      <c r="H2" s="18"/>
      <c r="I2" s="18"/>
      <c r="J2" s="18"/>
      <c r="K2" s="18"/>
      <c r="L2" s="18"/>
      <c r="M2" s="18"/>
      <c r="N2" s="18"/>
      <c r="O2" s="18"/>
      <c r="P2" s="18"/>
    </row>
    <row r="4" spans="1:16" x14ac:dyDescent="0.35">
      <c r="A4" s="10" t="s">
        <v>868</v>
      </c>
      <c r="B4" s="10" t="s">
        <v>843</v>
      </c>
      <c r="G4" s="10" t="s">
        <v>839</v>
      </c>
      <c r="H4" t="s">
        <v>845</v>
      </c>
      <c r="I4" t="s">
        <v>849</v>
      </c>
      <c r="J4" t="s">
        <v>848</v>
      </c>
      <c r="K4" t="s">
        <v>846</v>
      </c>
      <c r="L4" t="s">
        <v>847</v>
      </c>
      <c r="M4" t="s">
        <v>850</v>
      </c>
      <c r="N4" t="s">
        <v>851</v>
      </c>
      <c r="O4" t="s">
        <v>852</v>
      </c>
      <c r="P4" t="s">
        <v>822</v>
      </c>
    </row>
    <row r="5" spans="1:16" x14ac:dyDescent="0.35">
      <c r="A5" s="10" t="s">
        <v>839</v>
      </c>
      <c r="B5" t="s">
        <v>840</v>
      </c>
      <c r="C5" t="s">
        <v>841</v>
      </c>
      <c r="D5" t="s">
        <v>842</v>
      </c>
      <c r="E5" t="s">
        <v>835</v>
      </c>
      <c r="G5" s="11" t="s">
        <v>24</v>
      </c>
      <c r="H5" s="2">
        <v>6306</v>
      </c>
      <c r="I5" s="2">
        <v>152006103</v>
      </c>
      <c r="J5" s="2">
        <v>13936499</v>
      </c>
      <c r="K5" s="2">
        <v>165942602</v>
      </c>
      <c r="L5" s="2">
        <v>124314700</v>
      </c>
      <c r="M5" s="2">
        <v>193478573</v>
      </c>
      <c r="N5" s="2">
        <v>317793273</v>
      </c>
      <c r="O5" s="2">
        <v>-151850671</v>
      </c>
      <c r="P5" s="2">
        <v>-181.67585367011495</v>
      </c>
    </row>
    <row r="6" spans="1:16" x14ac:dyDescent="0.35">
      <c r="A6" s="11" t="s">
        <v>17</v>
      </c>
      <c r="B6" s="2">
        <v>64</v>
      </c>
      <c r="C6" s="2">
        <v>105</v>
      </c>
      <c r="D6" s="2">
        <v>6</v>
      </c>
      <c r="E6" s="2">
        <v>175</v>
      </c>
      <c r="G6" s="11" t="s">
        <v>43</v>
      </c>
      <c r="H6" s="2">
        <v>7909</v>
      </c>
      <c r="I6" s="2">
        <v>176912750</v>
      </c>
      <c r="J6" s="2">
        <v>13504477</v>
      </c>
      <c r="K6" s="2">
        <v>190417227</v>
      </c>
      <c r="L6" s="2">
        <v>116730040</v>
      </c>
      <c r="M6" s="2">
        <v>182185906</v>
      </c>
      <c r="N6" s="2">
        <v>298915946</v>
      </c>
      <c r="O6" s="2">
        <v>-108498719</v>
      </c>
      <c r="P6" s="2">
        <v>-108.10203979911458</v>
      </c>
    </row>
    <row r="7" spans="1:16" x14ac:dyDescent="0.35">
      <c r="A7" s="11" t="s">
        <v>24</v>
      </c>
      <c r="B7" s="2">
        <v>62</v>
      </c>
      <c r="C7" s="2">
        <v>107</v>
      </c>
      <c r="D7" s="2"/>
      <c r="E7" s="2">
        <v>169</v>
      </c>
      <c r="G7" s="11" t="s">
        <v>17</v>
      </c>
      <c r="H7" s="2">
        <v>2815</v>
      </c>
      <c r="I7" s="2">
        <v>68152559</v>
      </c>
      <c r="J7" s="2">
        <v>13789128</v>
      </c>
      <c r="K7" s="2">
        <v>81941687</v>
      </c>
      <c r="L7" s="2">
        <v>126740788</v>
      </c>
      <c r="M7" s="2">
        <v>197915751</v>
      </c>
      <c r="N7" s="2">
        <v>324656539</v>
      </c>
      <c r="O7" s="2">
        <v>-242714852</v>
      </c>
      <c r="P7" s="2">
        <v>-578.11237324866795</v>
      </c>
    </row>
    <row r="8" spans="1:16" x14ac:dyDescent="0.35">
      <c r="A8" s="11" t="s">
        <v>43</v>
      </c>
      <c r="B8" s="2">
        <v>53</v>
      </c>
      <c r="C8" s="2">
        <v>101</v>
      </c>
      <c r="D8" s="2">
        <v>2</v>
      </c>
      <c r="E8" s="2">
        <v>156</v>
      </c>
      <c r="G8" s="11" t="s">
        <v>835</v>
      </c>
      <c r="H8" s="2">
        <v>17030</v>
      </c>
      <c r="I8" s="2">
        <v>397071412</v>
      </c>
      <c r="J8" s="2">
        <v>41230104</v>
      </c>
      <c r="K8" s="2">
        <v>438301516</v>
      </c>
      <c r="L8" s="2">
        <v>367785528</v>
      </c>
      <c r="M8" s="2">
        <v>573580230</v>
      </c>
      <c r="N8" s="2">
        <v>941365758</v>
      </c>
      <c r="O8" s="2">
        <v>-503064242</v>
      </c>
      <c r="P8" s="2">
        <v>-867.89026671789748</v>
      </c>
    </row>
    <row r="9" spans="1:16" x14ac:dyDescent="0.35">
      <c r="A9" s="11" t="s">
        <v>835</v>
      </c>
      <c r="B9" s="2">
        <v>179</v>
      </c>
      <c r="C9" s="2">
        <v>313</v>
      </c>
      <c r="D9" s="2">
        <v>8</v>
      </c>
      <c r="E9" s="2">
        <v>500</v>
      </c>
    </row>
  </sheetData>
  <mergeCells count="2">
    <mergeCell ref="A2:E2"/>
    <mergeCell ref="G2:P2"/>
  </mergeCells>
  <conditionalFormatting pivot="1" sqref="B6">
    <cfRule type="top10" dxfId="90" priority="26" rank="1"/>
  </conditionalFormatting>
  <conditionalFormatting pivot="1" sqref="B6:B8">
    <cfRule type="top10" dxfId="89" priority="25" bottom="1" rank="1"/>
  </conditionalFormatting>
  <conditionalFormatting pivot="1" sqref="C6:C8">
    <cfRule type="top10" dxfId="88" priority="24" rank="1"/>
  </conditionalFormatting>
  <conditionalFormatting pivot="1" sqref="C6:C8">
    <cfRule type="top10" dxfId="87" priority="23" bottom="1" rank="1"/>
  </conditionalFormatting>
  <conditionalFormatting pivot="1" sqref="D6:D8">
    <cfRule type="top10" dxfId="86" priority="22" rank="1"/>
  </conditionalFormatting>
  <conditionalFormatting pivot="1" sqref="H5:H7">
    <cfRule type="top10" dxfId="85" priority="16" rank="1"/>
  </conditionalFormatting>
  <conditionalFormatting pivot="1" sqref="I5:I7">
    <cfRule type="top10" dxfId="84" priority="15" rank="1"/>
  </conditionalFormatting>
  <conditionalFormatting pivot="1" sqref="J5:J7">
    <cfRule type="top10" dxfId="83" priority="14" rank="1"/>
  </conditionalFormatting>
  <conditionalFormatting pivot="1" sqref="J5:J7">
    <cfRule type="top10" dxfId="82" priority="13" bottom="1" rank="1"/>
  </conditionalFormatting>
  <conditionalFormatting pivot="1" sqref="I5:I7">
    <cfRule type="top10" dxfId="81" priority="12" bottom="1" rank="1"/>
  </conditionalFormatting>
  <conditionalFormatting pivot="1" sqref="H5:H7">
    <cfRule type="top10" dxfId="80" priority="11" bottom="1" rank="1"/>
  </conditionalFormatting>
  <conditionalFormatting pivot="1" sqref="K5:K7">
    <cfRule type="top10" dxfId="79" priority="10" rank="1"/>
  </conditionalFormatting>
  <conditionalFormatting pivot="1" sqref="K5:K7">
    <cfRule type="top10" dxfId="78" priority="9" bottom="1" rank="1"/>
  </conditionalFormatting>
  <conditionalFormatting pivot="1" sqref="L5:L7">
    <cfRule type="top10" dxfId="77" priority="8" rank="1"/>
  </conditionalFormatting>
  <conditionalFormatting pivot="1" sqref="L5:L7">
    <cfRule type="top10" dxfId="76" priority="7" bottom="1" rank="1"/>
  </conditionalFormatting>
  <conditionalFormatting pivot="1" sqref="M5:M7">
    <cfRule type="top10" dxfId="75" priority="6" rank="1"/>
  </conditionalFormatting>
  <conditionalFormatting pivot="1" sqref="M5:M7">
    <cfRule type="top10" dxfId="74" priority="5" bottom="1" rank="1"/>
  </conditionalFormatting>
  <conditionalFormatting pivot="1" sqref="N5:N7">
    <cfRule type="top10" dxfId="73" priority="4" rank="1"/>
  </conditionalFormatting>
  <conditionalFormatting pivot="1" sqref="N5:N7">
    <cfRule type="top10" dxfId="72" priority="3" bottom="1" rank="1"/>
  </conditionalFormatting>
  <conditionalFormatting pivot="1" sqref="O5:O7">
    <cfRule type="top10" dxfId="71" priority="2" rank="1"/>
  </conditionalFormatting>
  <conditionalFormatting pivot="1" sqref="O5:O7">
    <cfRule type="top10" dxfId="70" priority="1" bottom="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3DD3D-A53C-4BFA-B3D8-6C86C8DBD512}">
  <dimension ref="A5:K29"/>
  <sheetViews>
    <sheetView topLeftCell="A3" workbookViewId="0">
      <selection activeCell="A10" sqref="A10"/>
    </sheetView>
  </sheetViews>
  <sheetFormatPr defaultRowHeight="14.5" x14ac:dyDescent="0.35"/>
  <cols>
    <col min="1" max="1" width="24.08984375" bestFit="1" customWidth="1"/>
    <col min="2" max="2" width="12" bestFit="1" customWidth="1"/>
    <col min="3" max="3" width="14.36328125" bestFit="1" customWidth="1"/>
    <col min="4" max="4" width="13.90625" bestFit="1" customWidth="1"/>
    <col min="5" max="5" width="14.08984375" bestFit="1" customWidth="1"/>
    <col min="6" max="6" width="14.36328125" bestFit="1" customWidth="1"/>
    <col min="7" max="7" width="9.81640625" bestFit="1" customWidth="1"/>
    <col min="8" max="8" width="14" bestFit="1" customWidth="1"/>
    <col min="9" max="9" width="10.81640625" bestFit="1" customWidth="1"/>
    <col min="10" max="10" width="16" bestFit="1" customWidth="1"/>
    <col min="11" max="11" width="26.7265625" bestFit="1" customWidth="1"/>
    <col min="12" max="12" width="24.54296875" bestFit="1" customWidth="1"/>
    <col min="13" max="13" width="26.26953125" bestFit="1" customWidth="1"/>
  </cols>
  <sheetData>
    <row r="5" spans="1:11" x14ac:dyDescent="0.35">
      <c r="D5" s="12" t="s">
        <v>858</v>
      </c>
      <c r="E5" s="13"/>
      <c r="F5" s="13"/>
      <c r="G5" s="13"/>
      <c r="H5" s="13"/>
    </row>
    <row r="8" spans="1:11" x14ac:dyDescent="0.35">
      <c r="A8" s="10" t="s">
        <v>869</v>
      </c>
      <c r="B8" t="s">
        <v>866</v>
      </c>
      <c r="C8" t="s">
        <v>854</v>
      </c>
      <c r="D8" t="s">
        <v>848</v>
      </c>
      <c r="E8" t="s">
        <v>855</v>
      </c>
      <c r="F8" t="s">
        <v>856</v>
      </c>
      <c r="G8" t="s">
        <v>847</v>
      </c>
      <c r="H8" t="s">
        <v>850</v>
      </c>
      <c r="I8" t="s">
        <v>817</v>
      </c>
      <c r="J8" t="s">
        <v>822</v>
      </c>
      <c r="K8" t="s">
        <v>857</v>
      </c>
    </row>
    <row r="9" spans="1:11" x14ac:dyDescent="0.35">
      <c r="A9" s="11" t="s">
        <v>117</v>
      </c>
      <c r="B9" s="14">
        <v>8.9005566801619432E-2</v>
      </c>
      <c r="C9" s="2">
        <v>1436</v>
      </c>
      <c r="D9" s="2">
        <v>3529969</v>
      </c>
      <c r="E9" s="2">
        <v>34605633</v>
      </c>
      <c r="F9" s="2">
        <v>38135602</v>
      </c>
      <c r="G9" s="2">
        <v>28760166</v>
      </c>
      <c r="H9" s="2">
        <v>43233596</v>
      </c>
      <c r="I9" s="2">
        <v>71993762</v>
      </c>
      <c r="J9" s="2">
        <v>-58.244635179273835</v>
      </c>
      <c r="K9" s="7">
        <v>53.166666666666664</v>
      </c>
    </row>
    <row r="10" spans="1:11" x14ac:dyDescent="0.35">
      <c r="A10" s="16" t="s">
        <v>879</v>
      </c>
      <c r="B10" s="14">
        <v>8.9005566801619432E-2</v>
      </c>
      <c r="C10" s="2">
        <v>1436</v>
      </c>
      <c r="D10" s="2">
        <v>3529969</v>
      </c>
      <c r="E10" s="2">
        <v>34605633</v>
      </c>
      <c r="F10" s="2">
        <v>38135602</v>
      </c>
      <c r="G10" s="2">
        <v>28760166</v>
      </c>
      <c r="H10" s="2">
        <v>43233596</v>
      </c>
      <c r="I10" s="2">
        <v>71993762</v>
      </c>
      <c r="J10" s="2">
        <v>-58.244635179273835</v>
      </c>
      <c r="K10" s="7">
        <v>53.166666666666664</v>
      </c>
    </row>
    <row r="11" spans="1:11" x14ac:dyDescent="0.35">
      <c r="A11" s="11" t="s">
        <v>42</v>
      </c>
      <c r="B11" s="14">
        <v>7.4882970647773273E-2</v>
      </c>
      <c r="C11" s="2">
        <v>1173</v>
      </c>
      <c r="D11" s="2">
        <v>3364242</v>
      </c>
      <c r="E11" s="2">
        <v>29695170</v>
      </c>
      <c r="F11" s="2">
        <v>33059412</v>
      </c>
      <c r="G11" s="2">
        <v>28722191</v>
      </c>
      <c r="H11" s="2">
        <v>43715166</v>
      </c>
      <c r="I11" s="2">
        <v>72437357</v>
      </c>
      <c r="J11" s="2">
        <v>-70.711433229060901</v>
      </c>
      <c r="K11" s="7">
        <v>49.102564102564102</v>
      </c>
    </row>
    <row r="12" spans="1:11" x14ac:dyDescent="0.35">
      <c r="A12" s="16" t="s">
        <v>876</v>
      </c>
      <c r="B12" s="14">
        <v>7.4882970647773273E-2</v>
      </c>
      <c r="C12" s="2">
        <v>1173</v>
      </c>
      <c r="D12" s="2">
        <v>3364242</v>
      </c>
      <c r="E12" s="2">
        <v>29695170</v>
      </c>
      <c r="F12" s="2">
        <v>33059412</v>
      </c>
      <c r="G12" s="2">
        <v>28722191</v>
      </c>
      <c r="H12" s="2">
        <v>43715166</v>
      </c>
      <c r="I12" s="2">
        <v>72437357</v>
      </c>
      <c r="J12" s="2">
        <v>-70.711433229060901</v>
      </c>
      <c r="K12" s="7">
        <v>49.102564102564102</v>
      </c>
    </row>
    <row r="13" spans="1:11" x14ac:dyDescent="0.35">
      <c r="A13" s="11" t="s">
        <v>21</v>
      </c>
      <c r="B13" s="14">
        <v>8.9321862348178141E-2</v>
      </c>
      <c r="C13" s="2">
        <v>1160</v>
      </c>
      <c r="D13" s="2">
        <v>3888809</v>
      </c>
      <c r="E13" s="2">
        <v>34331932</v>
      </c>
      <c r="F13" s="2">
        <v>38220741</v>
      </c>
      <c r="G13" s="2">
        <v>31707360</v>
      </c>
      <c r="H13" s="2">
        <v>51016409</v>
      </c>
      <c r="I13" s="2">
        <v>82723769</v>
      </c>
      <c r="J13" s="2">
        <v>-74.379334586156062</v>
      </c>
      <c r="K13" s="7">
        <v>46.113636363636367</v>
      </c>
    </row>
    <row r="14" spans="1:11" x14ac:dyDescent="0.35">
      <c r="A14" s="16" t="s">
        <v>872</v>
      </c>
      <c r="B14" s="14">
        <v>8.9321862348178141E-2</v>
      </c>
      <c r="C14" s="2">
        <v>1160</v>
      </c>
      <c r="D14" s="2">
        <v>3888809</v>
      </c>
      <c r="E14" s="2">
        <v>34331932</v>
      </c>
      <c r="F14" s="2">
        <v>38220741</v>
      </c>
      <c r="G14" s="2">
        <v>31707360</v>
      </c>
      <c r="H14" s="2">
        <v>51016409</v>
      </c>
      <c r="I14" s="2">
        <v>82723769</v>
      </c>
      <c r="J14" s="2">
        <v>-74.379334586156062</v>
      </c>
      <c r="K14" s="7">
        <v>46.113636363636367</v>
      </c>
    </row>
    <row r="15" spans="1:11" x14ac:dyDescent="0.35">
      <c r="A15" s="11" t="s">
        <v>39</v>
      </c>
      <c r="B15" s="14">
        <v>0.12722988360323886</v>
      </c>
      <c r="C15" s="2">
        <v>1903</v>
      </c>
      <c r="D15" s="2">
        <v>4845924</v>
      </c>
      <c r="E15" s="2">
        <v>50309486</v>
      </c>
      <c r="F15" s="2">
        <v>55155410</v>
      </c>
      <c r="G15" s="2">
        <v>46060463</v>
      </c>
      <c r="H15" s="2">
        <v>70510652</v>
      </c>
      <c r="I15" s="2">
        <v>116571115</v>
      </c>
      <c r="J15" s="2">
        <v>-85.555760056250051</v>
      </c>
      <c r="K15" s="7">
        <v>43.103448275862071</v>
      </c>
    </row>
    <row r="16" spans="1:11" x14ac:dyDescent="0.35">
      <c r="A16" s="16" t="s">
        <v>875</v>
      </c>
      <c r="B16" s="14">
        <v>0.12722988360323886</v>
      </c>
      <c r="C16" s="2">
        <v>1903</v>
      </c>
      <c r="D16" s="2">
        <v>4845924</v>
      </c>
      <c r="E16" s="2">
        <v>50309486</v>
      </c>
      <c r="F16" s="2">
        <v>55155410</v>
      </c>
      <c r="G16" s="2">
        <v>46060463</v>
      </c>
      <c r="H16" s="2">
        <v>70510652</v>
      </c>
      <c r="I16" s="2">
        <v>116571115</v>
      </c>
      <c r="J16" s="2">
        <v>-85.555760056250051</v>
      </c>
      <c r="K16" s="7">
        <v>43.103448275862071</v>
      </c>
    </row>
    <row r="17" spans="1:11" x14ac:dyDescent="0.35">
      <c r="A17" s="11" t="s">
        <v>36</v>
      </c>
      <c r="B17" s="14">
        <v>8.17623987854251E-2</v>
      </c>
      <c r="C17" s="2">
        <v>1382</v>
      </c>
      <c r="D17" s="2">
        <v>3432413</v>
      </c>
      <c r="E17" s="2">
        <v>31250243</v>
      </c>
      <c r="F17" s="2">
        <v>34682656</v>
      </c>
      <c r="G17" s="2">
        <v>32041245</v>
      </c>
      <c r="H17" s="2">
        <v>49548656</v>
      </c>
      <c r="I17" s="2">
        <v>81589901</v>
      </c>
      <c r="J17" s="2">
        <v>-86.717026835761686</v>
      </c>
      <c r="K17" s="7">
        <v>48.095238095238095</v>
      </c>
    </row>
    <row r="18" spans="1:11" x14ac:dyDescent="0.35">
      <c r="A18" s="16" t="s">
        <v>874</v>
      </c>
      <c r="B18" s="14">
        <v>8.17623987854251E-2</v>
      </c>
      <c r="C18" s="2">
        <v>1382</v>
      </c>
      <c r="D18" s="2">
        <v>3432413</v>
      </c>
      <c r="E18" s="2">
        <v>31250243</v>
      </c>
      <c r="F18" s="2">
        <v>34682656</v>
      </c>
      <c r="G18" s="2">
        <v>32041245</v>
      </c>
      <c r="H18" s="2">
        <v>49548656</v>
      </c>
      <c r="I18" s="2">
        <v>81589901</v>
      </c>
      <c r="J18" s="2">
        <v>-86.717026835761686</v>
      </c>
      <c r="K18" s="7">
        <v>48.095238095238095</v>
      </c>
    </row>
    <row r="19" spans="1:11" x14ac:dyDescent="0.35">
      <c r="A19" s="11" t="s">
        <v>76</v>
      </c>
      <c r="B19" s="14">
        <v>0.11823127530364372</v>
      </c>
      <c r="C19" s="2">
        <v>2580</v>
      </c>
      <c r="D19" s="2">
        <v>4847313</v>
      </c>
      <c r="E19" s="2">
        <v>46289478</v>
      </c>
      <c r="F19" s="2">
        <v>51136791</v>
      </c>
      <c r="G19" s="2">
        <v>39875243</v>
      </c>
      <c r="H19" s="2">
        <v>65212340</v>
      </c>
      <c r="I19" s="2">
        <v>105087583</v>
      </c>
      <c r="J19" s="2">
        <v>-88.363085132824281</v>
      </c>
      <c r="K19" s="7">
        <v>46.293103448275865</v>
      </c>
    </row>
    <row r="20" spans="1:11" x14ac:dyDescent="0.35">
      <c r="A20" s="16" t="s">
        <v>878</v>
      </c>
      <c r="B20" s="14">
        <v>0.11823127530364372</v>
      </c>
      <c r="C20" s="2">
        <v>2580</v>
      </c>
      <c r="D20" s="2">
        <v>4847313</v>
      </c>
      <c r="E20" s="2">
        <v>46289478</v>
      </c>
      <c r="F20" s="2">
        <v>51136791</v>
      </c>
      <c r="G20" s="2">
        <v>39875243</v>
      </c>
      <c r="H20" s="2">
        <v>65212340</v>
      </c>
      <c r="I20" s="2">
        <v>105087583</v>
      </c>
      <c r="J20" s="2">
        <v>-88.363085132824281</v>
      </c>
      <c r="K20" s="7">
        <v>46.293103448275865</v>
      </c>
    </row>
    <row r="21" spans="1:11" x14ac:dyDescent="0.35">
      <c r="A21" s="11" t="s">
        <v>59</v>
      </c>
      <c r="B21" s="14">
        <v>0.10809400303643725</v>
      </c>
      <c r="C21" s="2">
        <v>1807</v>
      </c>
      <c r="D21" s="2">
        <v>4493227</v>
      </c>
      <c r="E21" s="2">
        <v>43902202</v>
      </c>
      <c r="F21" s="2">
        <v>48395429</v>
      </c>
      <c r="G21" s="2">
        <v>40852462</v>
      </c>
      <c r="H21" s="2">
        <v>62022192</v>
      </c>
      <c r="I21" s="2">
        <v>102874654</v>
      </c>
      <c r="J21" s="2">
        <v>-92.810567570291852</v>
      </c>
      <c r="K21" s="7">
        <v>45.127272727272725</v>
      </c>
    </row>
    <row r="22" spans="1:11" x14ac:dyDescent="0.35">
      <c r="A22" s="16" t="s">
        <v>877</v>
      </c>
      <c r="B22" s="14">
        <v>0.10809400303643725</v>
      </c>
      <c r="C22" s="2">
        <v>1807</v>
      </c>
      <c r="D22" s="2">
        <v>4493227</v>
      </c>
      <c r="E22" s="2">
        <v>43902202</v>
      </c>
      <c r="F22" s="2">
        <v>48395429</v>
      </c>
      <c r="G22" s="2">
        <v>40852462</v>
      </c>
      <c r="H22" s="2">
        <v>62022192</v>
      </c>
      <c r="I22" s="2">
        <v>102874654</v>
      </c>
      <c r="J22" s="2">
        <v>-92.810567570291852</v>
      </c>
      <c r="K22" s="7">
        <v>45.127272727272725</v>
      </c>
    </row>
    <row r="23" spans="1:11" x14ac:dyDescent="0.35">
      <c r="A23" s="11" t="s">
        <v>29</v>
      </c>
      <c r="B23" s="14">
        <v>9.7751138663967604E-2</v>
      </c>
      <c r="C23" s="2">
        <v>1921</v>
      </c>
      <c r="D23" s="2">
        <v>3795805</v>
      </c>
      <c r="E23" s="2">
        <v>39344004</v>
      </c>
      <c r="F23" s="2">
        <v>43139809</v>
      </c>
      <c r="G23" s="2">
        <v>37825048</v>
      </c>
      <c r="H23" s="2">
        <v>57637635</v>
      </c>
      <c r="I23" s="2">
        <v>95462683</v>
      </c>
      <c r="J23" s="2">
        <v>-95.820010228078331</v>
      </c>
      <c r="K23" s="7">
        <v>40.86</v>
      </c>
    </row>
    <row r="24" spans="1:11" x14ac:dyDescent="0.35">
      <c r="A24" s="16" t="s">
        <v>880</v>
      </c>
      <c r="B24" s="14">
        <v>9.7751138663967604E-2</v>
      </c>
      <c r="C24" s="2">
        <v>1921</v>
      </c>
      <c r="D24" s="2">
        <v>3795805</v>
      </c>
      <c r="E24" s="2">
        <v>39344004</v>
      </c>
      <c r="F24" s="2">
        <v>43139809</v>
      </c>
      <c r="G24" s="2">
        <v>37825048</v>
      </c>
      <c r="H24" s="2">
        <v>57637635</v>
      </c>
      <c r="I24" s="2">
        <v>95462683</v>
      </c>
      <c r="J24" s="2">
        <v>-95.820010228078331</v>
      </c>
      <c r="K24" s="7">
        <v>40.86</v>
      </c>
    </row>
    <row r="25" spans="1:11" x14ac:dyDescent="0.35">
      <c r="A25" s="11" t="s">
        <v>32</v>
      </c>
      <c r="B25" s="14">
        <v>0.10638600708502025</v>
      </c>
      <c r="C25" s="2">
        <v>1811</v>
      </c>
      <c r="D25" s="2">
        <v>4031345</v>
      </c>
      <c r="E25" s="2">
        <v>42687244</v>
      </c>
      <c r="F25" s="2">
        <v>46718589</v>
      </c>
      <c r="G25" s="2">
        <v>39615890</v>
      </c>
      <c r="H25" s="2">
        <v>63463828</v>
      </c>
      <c r="I25" s="2">
        <v>103079718</v>
      </c>
      <c r="J25" s="2">
        <v>-103.02856635542759</v>
      </c>
      <c r="K25" s="7">
        <v>46.363636363636367</v>
      </c>
    </row>
    <row r="26" spans="1:11" x14ac:dyDescent="0.35">
      <c r="A26" s="16" t="s">
        <v>873</v>
      </c>
      <c r="B26" s="14">
        <v>0.10638600708502025</v>
      </c>
      <c r="C26" s="2">
        <v>1811</v>
      </c>
      <c r="D26" s="2">
        <v>4031345</v>
      </c>
      <c r="E26" s="2">
        <v>42687244</v>
      </c>
      <c r="F26" s="2">
        <v>46718589</v>
      </c>
      <c r="G26" s="2">
        <v>39615890</v>
      </c>
      <c r="H26" s="2">
        <v>63463828</v>
      </c>
      <c r="I26" s="2">
        <v>103079718</v>
      </c>
      <c r="J26" s="2">
        <v>-103.02856635542759</v>
      </c>
      <c r="K26" s="7">
        <v>46.363636363636367</v>
      </c>
    </row>
    <row r="27" spans="1:11" x14ac:dyDescent="0.35">
      <c r="A27" s="11" t="s">
        <v>16</v>
      </c>
      <c r="B27" s="14">
        <v>0.10733489372469636</v>
      </c>
      <c r="C27" s="2">
        <v>1857</v>
      </c>
      <c r="D27" s="2">
        <v>5001057</v>
      </c>
      <c r="E27" s="2">
        <v>44656020</v>
      </c>
      <c r="F27" s="2">
        <v>49657077</v>
      </c>
      <c r="G27" s="2">
        <v>42325460</v>
      </c>
      <c r="H27" s="2">
        <v>67219756</v>
      </c>
      <c r="I27" s="2">
        <v>109545216</v>
      </c>
      <c r="J27" s="2">
        <v>-112.25984754477301</v>
      </c>
      <c r="K27" s="7">
        <v>49.719298245614034</v>
      </c>
    </row>
    <row r="28" spans="1:11" x14ac:dyDescent="0.35">
      <c r="A28" s="16" t="s">
        <v>871</v>
      </c>
      <c r="B28" s="14">
        <v>0.10733489372469636</v>
      </c>
      <c r="C28" s="2">
        <v>1857</v>
      </c>
      <c r="D28" s="2">
        <v>5001057</v>
      </c>
      <c r="E28" s="2">
        <v>44656020</v>
      </c>
      <c r="F28" s="2">
        <v>49657077</v>
      </c>
      <c r="G28" s="2">
        <v>42325460</v>
      </c>
      <c r="H28" s="2">
        <v>67219756</v>
      </c>
      <c r="I28" s="2">
        <v>109545216</v>
      </c>
      <c r="J28" s="2">
        <v>-112.25984754477301</v>
      </c>
      <c r="K28" s="7">
        <v>49.719298245614034</v>
      </c>
    </row>
    <row r="29" spans="1:11" x14ac:dyDescent="0.35">
      <c r="A29" s="11" t="s">
        <v>835</v>
      </c>
      <c r="B29" s="14">
        <v>1</v>
      </c>
      <c r="C29" s="2">
        <v>17030</v>
      </c>
      <c r="D29" s="2">
        <v>41230104</v>
      </c>
      <c r="E29" s="2">
        <v>397071412</v>
      </c>
      <c r="F29" s="2">
        <v>438301516</v>
      </c>
      <c r="G29" s="2">
        <v>367785528</v>
      </c>
      <c r="H29" s="2">
        <v>573580230</v>
      </c>
      <c r="I29" s="2">
        <v>941365758</v>
      </c>
      <c r="J29" s="2">
        <v>-867.89026671789816</v>
      </c>
      <c r="K29" s="7">
        <v>46.582000000000001</v>
      </c>
    </row>
  </sheetData>
  <conditionalFormatting pivot="1" sqref="C9 C11 C13 C15 C17 C19 C21 C23 C25 C27">
    <cfRule type="top10" dxfId="69" priority="21" rank="2"/>
  </conditionalFormatting>
  <conditionalFormatting pivot="1" sqref="C9 C11 C13 C15 C17 C19 C21 C23 C25 C27">
    <cfRule type="top10" dxfId="68" priority="20" bottom="1" rank="2"/>
  </conditionalFormatting>
  <conditionalFormatting pivot="1" sqref="D9 D11 D13 D15 D17 D19 D21 D23 D25 D27">
    <cfRule type="top10" dxfId="67" priority="19" rank="2"/>
  </conditionalFormatting>
  <conditionalFormatting pivot="1" sqref="D9 D11 D13 D15 D17 D19 D21 D23 D25 D27">
    <cfRule type="top10" dxfId="66" priority="18" bottom="1" rank="2"/>
  </conditionalFormatting>
  <conditionalFormatting pivot="1" sqref="E9 E11 E13 E15 E17 E19 E21 E23 E25 E27">
    <cfRule type="top10" dxfId="65" priority="17" rank="2"/>
  </conditionalFormatting>
  <conditionalFormatting pivot="1" sqref="E9 E11 E13 E15 E17 E19 E21 E23 E25 E27">
    <cfRule type="top10" dxfId="64" priority="16" bottom="1" rank="2"/>
  </conditionalFormatting>
  <conditionalFormatting pivot="1" sqref="F9 F11 F13 F15 F17 F19 F21 F23 F25 F27">
    <cfRule type="top10" dxfId="63" priority="15" rank="2"/>
  </conditionalFormatting>
  <conditionalFormatting pivot="1" sqref="F9 F11 F13 F15 F17 F19 F21 F23 F25 F27">
    <cfRule type="top10" dxfId="62" priority="14" bottom="1" rank="2"/>
  </conditionalFormatting>
  <conditionalFormatting pivot="1" sqref="G9 G11 G13 G15 G17 G19 G21 G23 G25 G27">
    <cfRule type="top10" dxfId="61" priority="13" rank="2"/>
  </conditionalFormatting>
  <conditionalFormatting pivot="1" sqref="G9 G11 G13 G15 G17 G19 G21 G23 G25 G27">
    <cfRule type="top10" dxfId="60" priority="11" bottom="1" rank="2"/>
  </conditionalFormatting>
  <conditionalFormatting pivot="1" sqref="H9 H11 H13 H15 H17 H19 H21 H23 H25 H27">
    <cfRule type="top10" dxfId="59" priority="10" rank="2"/>
  </conditionalFormatting>
  <conditionalFormatting pivot="1" sqref="H9 H11 H13 H15 H17 H19 H21 H23 H25 H27">
    <cfRule type="top10" dxfId="58" priority="9" bottom="1" rank="2"/>
  </conditionalFormatting>
  <conditionalFormatting pivot="1" sqref="I9 I11 I13 I15 I17 I19 I21 I23 I25 I27">
    <cfRule type="top10" dxfId="57" priority="8" rank="2"/>
  </conditionalFormatting>
  <conditionalFormatting pivot="1" sqref="I9 I11 I13 I15 I17 I19 I21 I23 I25 I27">
    <cfRule type="top10" dxfId="56" priority="7" bottom="1" rank="2"/>
  </conditionalFormatting>
  <conditionalFormatting pivot="1" sqref="J9 J11 J13 J15 J17 J19 J21 J23 J25 J27">
    <cfRule type="top10" dxfId="55" priority="6" rank="2"/>
  </conditionalFormatting>
  <conditionalFormatting pivot="1" sqref="J9 J11 J13 J15 J17 J19 J21 J23 J25 J27">
    <cfRule type="top10" dxfId="54" priority="5" bottom="1" rank="2"/>
  </conditionalFormatting>
  <conditionalFormatting pivot="1" sqref="K9 K11 K13 K15 K17 K19 K21 K23 K25 K27">
    <cfRule type="top10" dxfId="53" priority="4" rank="2"/>
  </conditionalFormatting>
  <conditionalFormatting pivot="1" sqref="K9 K11 K13 K15 K17 K19 K21 K23 K25 K27">
    <cfRule type="top10" dxfId="52" priority="3" bottom="1" rank="2"/>
  </conditionalFormatting>
  <conditionalFormatting pivot="1" sqref="B9 B11 B13 B15 B17 B19 B21 B23 B25 B27">
    <cfRule type="top10" dxfId="51" priority="2" rank="2"/>
  </conditionalFormatting>
  <conditionalFormatting pivot="1" sqref="B9 B11 B13 B15 B17 B19 B21 B23 B25 B27">
    <cfRule type="top10" dxfId="50" priority="1" bottom="1" rank="2"/>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5DBAE-7FB8-41A5-8498-6B5484D19F2E}">
  <dimension ref="A4:M22"/>
  <sheetViews>
    <sheetView topLeftCell="A2" workbookViewId="0">
      <selection activeCell="N15" sqref="N15"/>
    </sheetView>
  </sheetViews>
  <sheetFormatPr defaultRowHeight="14.5" x14ac:dyDescent="0.35"/>
  <cols>
    <col min="1" max="1" width="10.7265625" bestFit="1" customWidth="1"/>
    <col min="2" max="2" width="11.08984375" bestFit="1" customWidth="1"/>
    <col min="3" max="3" width="19" bestFit="1" customWidth="1"/>
    <col min="4" max="4" width="13.36328125" bestFit="1" customWidth="1"/>
    <col min="5" max="5" width="14.08984375" bestFit="1" customWidth="1"/>
    <col min="6" max="6" width="13.90625" bestFit="1" customWidth="1"/>
    <col min="7" max="7" width="12.7265625" bestFit="1" customWidth="1"/>
    <col min="8" max="8" width="22.1796875" bestFit="1" customWidth="1"/>
    <col min="9" max="9" width="14" bestFit="1" customWidth="1"/>
    <col min="10" max="10" width="9.81640625" bestFit="1" customWidth="1"/>
    <col min="11" max="11" width="10.81640625" bestFit="1" customWidth="1"/>
    <col min="12" max="12" width="11.81640625" bestFit="1" customWidth="1"/>
    <col min="13" max="13" width="14.453125" bestFit="1" customWidth="1"/>
  </cols>
  <sheetData>
    <row r="4" spans="1:13" x14ac:dyDescent="0.35">
      <c r="E4" s="17" t="s">
        <v>865</v>
      </c>
      <c r="F4" s="18"/>
      <c r="G4" s="18"/>
    </row>
    <row r="7" spans="1:13" x14ac:dyDescent="0.35">
      <c r="B7" s="10" t="s">
        <v>806</v>
      </c>
    </row>
    <row r="8" spans="1:13" x14ac:dyDescent="0.35">
      <c r="B8" t="s">
        <v>836</v>
      </c>
    </row>
    <row r="9" spans="1:13" x14ac:dyDescent="0.35">
      <c r="A9" s="10" t="s">
        <v>807</v>
      </c>
      <c r="B9" t="s">
        <v>862</v>
      </c>
      <c r="C9" t="s">
        <v>867</v>
      </c>
      <c r="D9" t="s">
        <v>861</v>
      </c>
      <c r="E9" t="s">
        <v>855</v>
      </c>
      <c r="F9" t="s">
        <v>848</v>
      </c>
      <c r="G9" t="s">
        <v>863</v>
      </c>
      <c r="H9" t="s">
        <v>864</v>
      </c>
      <c r="I9" t="s">
        <v>850</v>
      </c>
      <c r="J9" t="s">
        <v>847</v>
      </c>
      <c r="K9" t="s">
        <v>859</v>
      </c>
      <c r="L9" t="s">
        <v>852</v>
      </c>
      <c r="M9" t="s">
        <v>860</v>
      </c>
    </row>
    <row r="10" spans="1:13" x14ac:dyDescent="0.35">
      <c r="A10" s="11" t="s">
        <v>823</v>
      </c>
      <c r="B10" s="2">
        <v>3361</v>
      </c>
      <c r="C10" s="14"/>
      <c r="D10" s="2">
        <v>977</v>
      </c>
      <c r="E10" s="2">
        <v>21762088</v>
      </c>
      <c r="F10" s="2">
        <v>2173071</v>
      </c>
      <c r="G10" s="2">
        <v>23935159</v>
      </c>
      <c r="H10" s="14">
        <v>5.4608889374683341E-2</v>
      </c>
      <c r="I10" s="2">
        <v>34355344</v>
      </c>
      <c r="J10" s="2">
        <v>22466793</v>
      </c>
      <c r="K10" s="2">
        <v>56822137</v>
      </c>
      <c r="L10" s="2">
        <v>-32886978</v>
      </c>
      <c r="M10" s="7">
        <v>-71.06709708175039</v>
      </c>
    </row>
    <row r="11" spans="1:13" x14ac:dyDescent="0.35">
      <c r="A11" s="11" t="s">
        <v>824</v>
      </c>
      <c r="B11" s="2">
        <v>4990</v>
      </c>
      <c r="C11" s="14">
        <v>0.48467717941088961</v>
      </c>
      <c r="D11" s="2">
        <v>1716</v>
      </c>
      <c r="E11" s="2">
        <v>29383696</v>
      </c>
      <c r="F11" s="2">
        <v>3382718</v>
      </c>
      <c r="G11" s="2">
        <v>32766414</v>
      </c>
      <c r="H11" s="14">
        <v>0.1293665911025505</v>
      </c>
      <c r="I11" s="2">
        <v>45147354</v>
      </c>
      <c r="J11" s="2">
        <v>28916550</v>
      </c>
      <c r="K11" s="2">
        <v>74063904</v>
      </c>
      <c r="L11" s="2">
        <v>-41297490</v>
      </c>
      <c r="M11" s="7">
        <v>-69.339360892829006</v>
      </c>
    </row>
    <row r="12" spans="1:13" x14ac:dyDescent="0.35">
      <c r="A12" s="11" t="s">
        <v>825</v>
      </c>
      <c r="B12" s="2">
        <v>4720</v>
      </c>
      <c r="C12" s="14">
        <v>-5.410821643286573E-2</v>
      </c>
      <c r="D12" s="2">
        <v>1080</v>
      </c>
      <c r="E12" s="2">
        <v>27853825</v>
      </c>
      <c r="F12" s="2">
        <v>2795104</v>
      </c>
      <c r="G12" s="2">
        <v>30648929</v>
      </c>
      <c r="H12" s="14">
        <v>0.19929317789537374</v>
      </c>
      <c r="I12" s="2">
        <v>34792085</v>
      </c>
      <c r="J12" s="2">
        <v>22968123</v>
      </c>
      <c r="K12" s="2">
        <v>57760208</v>
      </c>
      <c r="L12" s="2">
        <v>-27111279</v>
      </c>
      <c r="M12" s="7">
        <v>-40.78391788674341</v>
      </c>
    </row>
    <row r="13" spans="1:13" x14ac:dyDescent="0.35">
      <c r="A13" s="11" t="s">
        <v>826</v>
      </c>
      <c r="B13" s="2">
        <v>4720</v>
      </c>
      <c r="C13" s="14">
        <v>0</v>
      </c>
      <c r="D13" s="2">
        <v>1418</v>
      </c>
      <c r="E13" s="2">
        <v>31748087</v>
      </c>
      <c r="F13" s="2">
        <v>2786921</v>
      </c>
      <c r="G13" s="2">
        <v>34535008</v>
      </c>
      <c r="H13" s="14">
        <v>0.27808598772904997</v>
      </c>
      <c r="I13" s="2">
        <v>44942928</v>
      </c>
      <c r="J13" s="2">
        <v>31036177</v>
      </c>
      <c r="K13" s="2">
        <v>75979105</v>
      </c>
      <c r="L13" s="2">
        <v>-41444097</v>
      </c>
      <c r="M13" s="7">
        <v>-77.167643178321271</v>
      </c>
    </row>
    <row r="14" spans="1:13" x14ac:dyDescent="0.35">
      <c r="A14" s="11" t="s">
        <v>827</v>
      </c>
      <c r="B14" s="2">
        <v>5626</v>
      </c>
      <c r="C14" s="14">
        <v>0.19194915254237288</v>
      </c>
      <c r="D14" s="2">
        <v>1420</v>
      </c>
      <c r="E14" s="2">
        <v>36119639</v>
      </c>
      <c r="F14" s="2">
        <v>4068200</v>
      </c>
      <c r="G14" s="2">
        <v>40187839</v>
      </c>
      <c r="H14" s="14">
        <v>0.369775926122966</v>
      </c>
      <c r="I14" s="2">
        <v>56140016</v>
      </c>
      <c r="J14" s="2">
        <v>34868682</v>
      </c>
      <c r="K14" s="2">
        <v>91008698</v>
      </c>
      <c r="L14" s="2">
        <v>-50820859</v>
      </c>
      <c r="M14" s="7">
        <v>-88.524094757804448</v>
      </c>
    </row>
    <row r="15" spans="1:13" x14ac:dyDescent="0.35">
      <c r="A15" s="11" t="s">
        <v>828</v>
      </c>
      <c r="B15" s="2">
        <v>6708</v>
      </c>
      <c r="C15" s="14">
        <v>0.19232136509065056</v>
      </c>
      <c r="D15" s="2">
        <v>1696</v>
      </c>
      <c r="E15" s="2">
        <v>44117616</v>
      </c>
      <c r="F15" s="2">
        <v>4102200</v>
      </c>
      <c r="G15" s="2">
        <v>48219816</v>
      </c>
      <c r="H15" s="14">
        <v>0.47979109659296731</v>
      </c>
      <c r="I15" s="2">
        <v>55806917</v>
      </c>
      <c r="J15" s="2">
        <v>36186955</v>
      </c>
      <c r="K15" s="2">
        <v>91993872</v>
      </c>
      <c r="L15" s="2">
        <v>-43774056</v>
      </c>
      <c r="M15" s="7">
        <v>-78.654850229602147</v>
      </c>
    </row>
    <row r="16" spans="1:13" x14ac:dyDescent="0.35">
      <c r="A16" s="11" t="s">
        <v>829</v>
      </c>
      <c r="B16" s="2">
        <v>6911</v>
      </c>
      <c r="C16" s="14">
        <v>3.0262373285629099E-2</v>
      </c>
      <c r="D16" s="2">
        <v>1853</v>
      </c>
      <c r="E16" s="2">
        <v>42616149</v>
      </c>
      <c r="F16" s="2">
        <v>4391326</v>
      </c>
      <c r="G16" s="2">
        <v>47007475</v>
      </c>
      <c r="H16" s="14">
        <v>0.58704026932911635</v>
      </c>
      <c r="I16" s="2">
        <v>59750530</v>
      </c>
      <c r="J16" s="2">
        <v>38666663</v>
      </c>
      <c r="K16" s="2">
        <v>98417193</v>
      </c>
      <c r="L16" s="2">
        <v>-51409718</v>
      </c>
      <c r="M16" s="7">
        <v>-74.158367277797609</v>
      </c>
    </row>
    <row r="17" spans="1:13" x14ac:dyDescent="0.35">
      <c r="A17" s="11" t="s">
        <v>830</v>
      </c>
      <c r="B17" s="2">
        <v>5831</v>
      </c>
      <c r="C17" s="14">
        <v>-0.15627260888438721</v>
      </c>
      <c r="D17" s="2">
        <v>1497</v>
      </c>
      <c r="E17" s="2">
        <v>35842050</v>
      </c>
      <c r="F17" s="2">
        <v>4242250</v>
      </c>
      <c r="G17" s="2">
        <v>40084300</v>
      </c>
      <c r="H17" s="14">
        <v>0.67849397992956062</v>
      </c>
      <c r="I17" s="2">
        <v>53349047</v>
      </c>
      <c r="J17" s="2">
        <v>32658232</v>
      </c>
      <c r="K17" s="2">
        <v>86007279</v>
      </c>
      <c r="L17" s="2">
        <v>-45922979</v>
      </c>
      <c r="M17" s="7">
        <v>-80.067291847430909</v>
      </c>
    </row>
    <row r="18" spans="1:13" x14ac:dyDescent="0.35">
      <c r="A18" s="11" t="s">
        <v>831</v>
      </c>
      <c r="B18" s="2">
        <v>6303</v>
      </c>
      <c r="C18" s="14">
        <v>8.0946664380037725E-2</v>
      </c>
      <c r="D18" s="2">
        <v>1489</v>
      </c>
      <c r="E18" s="2">
        <v>42569727</v>
      </c>
      <c r="F18" s="2">
        <v>4186763</v>
      </c>
      <c r="G18" s="2">
        <v>46756490</v>
      </c>
      <c r="H18" s="14">
        <v>0.7851705217464956</v>
      </c>
      <c r="I18" s="2">
        <v>62724023</v>
      </c>
      <c r="J18" s="2">
        <v>40118784</v>
      </c>
      <c r="K18" s="2">
        <v>102842807</v>
      </c>
      <c r="L18" s="2">
        <v>-56086317</v>
      </c>
      <c r="M18" s="7">
        <v>-102.88516039148459</v>
      </c>
    </row>
    <row r="19" spans="1:13" x14ac:dyDescent="0.35">
      <c r="A19" s="11" t="s">
        <v>832</v>
      </c>
      <c r="B19" s="2">
        <v>5151</v>
      </c>
      <c r="C19" s="14">
        <v>-0.18277010947168015</v>
      </c>
      <c r="D19" s="2">
        <v>1397</v>
      </c>
      <c r="E19" s="2">
        <v>30490687</v>
      </c>
      <c r="F19" s="2">
        <v>3366644</v>
      </c>
      <c r="G19" s="2">
        <v>33857331</v>
      </c>
      <c r="H19" s="14">
        <v>0.86241718817144131</v>
      </c>
      <c r="I19" s="2">
        <v>44399044</v>
      </c>
      <c r="J19" s="2">
        <v>26802284</v>
      </c>
      <c r="K19" s="2">
        <v>71201328</v>
      </c>
      <c r="L19" s="2">
        <v>-37343997</v>
      </c>
      <c r="M19" s="7">
        <v>-56.01018296198982</v>
      </c>
    </row>
    <row r="20" spans="1:13" x14ac:dyDescent="0.35">
      <c r="A20" s="11" t="s">
        <v>833</v>
      </c>
      <c r="B20" s="2">
        <v>4609</v>
      </c>
      <c r="C20" s="14">
        <v>-0.1052222869345758</v>
      </c>
      <c r="D20" s="2">
        <v>1323</v>
      </c>
      <c r="E20" s="2">
        <v>27710311</v>
      </c>
      <c r="F20" s="2">
        <v>3053459</v>
      </c>
      <c r="G20" s="2">
        <v>30763770</v>
      </c>
      <c r="H20" s="14">
        <v>0.93260578865987764</v>
      </c>
      <c r="I20" s="2">
        <v>46084231</v>
      </c>
      <c r="J20" s="2">
        <v>30272261</v>
      </c>
      <c r="K20" s="2">
        <v>76356492</v>
      </c>
      <c r="L20" s="2">
        <v>-45592722</v>
      </c>
      <c r="M20" s="7">
        <v>-76.884843447672495</v>
      </c>
    </row>
    <row r="21" spans="1:13" x14ac:dyDescent="0.35">
      <c r="A21" s="11" t="s">
        <v>834</v>
      </c>
      <c r="B21" s="2">
        <v>4302</v>
      </c>
      <c r="C21" s="14">
        <v>-6.6608808852245613E-2</v>
      </c>
      <c r="D21" s="2">
        <v>1164</v>
      </c>
      <c r="E21" s="2">
        <v>26857537</v>
      </c>
      <c r="F21" s="2">
        <v>2681448</v>
      </c>
      <c r="G21" s="2">
        <v>29538985</v>
      </c>
      <c r="H21" s="14">
        <v>1</v>
      </c>
      <c r="I21" s="2">
        <v>36088711</v>
      </c>
      <c r="J21" s="2">
        <v>22824024</v>
      </c>
      <c r="K21" s="2">
        <v>58912735</v>
      </c>
      <c r="L21" s="2">
        <v>-29373750</v>
      </c>
      <c r="M21" s="7">
        <v>-52.347456764471538</v>
      </c>
    </row>
    <row r="22" spans="1:13" x14ac:dyDescent="0.35">
      <c r="A22" s="11" t="s">
        <v>835</v>
      </c>
      <c r="B22" s="2">
        <v>63232</v>
      </c>
      <c r="C22" s="14"/>
      <c r="D22" s="2">
        <v>17030</v>
      </c>
      <c r="E22" s="2">
        <v>397071412</v>
      </c>
      <c r="F22" s="2">
        <v>41230104</v>
      </c>
      <c r="G22" s="2">
        <v>438301516</v>
      </c>
      <c r="H22" s="14"/>
      <c r="I22" s="2">
        <v>573580230</v>
      </c>
      <c r="J22" s="2">
        <v>367785528</v>
      </c>
      <c r="K22" s="2">
        <v>941365758</v>
      </c>
      <c r="L22" s="2">
        <v>-503064242</v>
      </c>
      <c r="M22" s="2">
        <v>-867.89026671789759</v>
      </c>
    </row>
  </sheetData>
  <mergeCells count="1">
    <mergeCell ref="E4:G4"/>
  </mergeCells>
  <conditionalFormatting pivot="1" sqref="B10:B21">
    <cfRule type="top10" dxfId="47" priority="22" rank="2"/>
  </conditionalFormatting>
  <conditionalFormatting pivot="1" sqref="B10:B21">
    <cfRule type="top10" dxfId="46" priority="21" bottom="1" rank="2"/>
  </conditionalFormatting>
  <conditionalFormatting pivot="1" sqref="C10:C21">
    <cfRule type="top10" dxfId="45" priority="20" rank="2"/>
  </conditionalFormatting>
  <conditionalFormatting pivot="1" sqref="C10:C21">
    <cfRule type="top10" dxfId="44" priority="19" bottom="1" rank="2"/>
  </conditionalFormatting>
  <conditionalFormatting pivot="1" sqref="D10:D21">
    <cfRule type="top10" dxfId="43" priority="18" rank="2"/>
  </conditionalFormatting>
  <conditionalFormatting pivot="1" sqref="D10:D21">
    <cfRule type="top10" dxfId="42" priority="17" bottom="1" rank="2"/>
  </conditionalFormatting>
  <conditionalFormatting pivot="1" sqref="E10:E21">
    <cfRule type="top10" dxfId="41" priority="16" rank="2"/>
  </conditionalFormatting>
  <conditionalFormatting pivot="1" sqref="E10:E21">
    <cfRule type="top10" dxfId="40" priority="15" bottom="1" rank="2"/>
  </conditionalFormatting>
  <conditionalFormatting pivot="1" sqref="F10:F21">
    <cfRule type="top10" dxfId="39" priority="14" rank="2"/>
  </conditionalFormatting>
  <conditionalFormatting pivot="1" sqref="F10:F21">
    <cfRule type="top10" dxfId="38" priority="13" bottom="1" rank="2"/>
  </conditionalFormatting>
  <conditionalFormatting pivot="1" sqref="G10:G21">
    <cfRule type="top10" dxfId="37" priority="12" rank="2"/>
  </conditionalFormatting>
  <conditionalFormatting pivot="1" sqref="G10:G21">
    <cfRule type="top10" dxfId="36" priority="11" bottom="1" rank="2"/>
  </conditionalFormatting>
  <conditionalFormatting pivot="1" sqref="I10:I21">
    <cfRule type="top10" dxfId="35" priority="10" rank="2"/>
  </conditionalFormatting>
  <conditionalFormatting pivot="1" sqref="I10:I21">
    <cfRule type="top10" dxfId="34" priority="9" bottom="1" rank="2"/>
  </conditionalFormatting>
  <conditionalFormatting pivot="1" sqref="J10:J21">
    <cfRule type="top10" dxfId="33" priority="8" rank="2"/>
  </conditionalFormatting>
  <conditionalFormatting pivot="1" sqref="J10:J21">
    <cfRule type="top10" dxfId="32" priority="7" bottom="1" rank="2"/>
  </conditionalFormatting>
  <conditionalFormatting pivot="1" sqref="K10:K21">
    <cfRule type="top10" dxfId="31" priority="6" rank="2"/>
  </conditionalFormatting>
  <conditionalFormatting pivot="1" sqref="K10:K21">
    <cfRule type="top10" dxfId="30" priority="5" bottom="1" rank="2"/>
  </conditionalFormatting>
  <conditionalFormatting pivot="1" sqref="L10:L21">
    <cfRule type="top10" dxfId="29" priority="4" rank="2"/>
  </conditionalFormatting>
  <conditionalFormatting pivot="1" sqref="L10:L21">
    <cfRule type="top10" dxfId="28" priority="3" bottom="1" rank="2"/>
  </conditionalFormatting>
  <conditionalFormatting pivot="1" sqref="M10:M21">
    <cfRule type="top10" dxfId="27" priority="2" rank="2"/>
  </conditionalFormatting>
  <conditionalFormatting pivot="1" sqref="M10:M21">
    <cfRule type="top10" dxfId="26" priority="1" bottom="1" rank="2"/>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EFE2-DAD6-4712-820F-CE26022087E7}">
  <dimension ref="A1:X501"/>
  <sheetViews>
    <sheetView tabSelected="1" topLeftCell="T1" workbookViewId="0">
      <selection activeCell="Z1" sqref="Z1"/>
    </sheetView>
  </sheetViews>
  <sheetFormatPr defaultRowHeight="14.5" x14ac:dyDescent="0.35"/>
  <cols>
    <col min="1" max="1" width="10.453125" bestFit="1" customWidth="1"/>
    <col min="2" max="2" width="10.08984375" bestFit="1" customWidth="1"/>
    <col min="3" max="3" width="6.81640625" bestFit="1" customWidth="1"/>
    <col min="4" max="4" width="8.81640625" bestFit="1" customWidth="1"/>
    <col min="5" max="5" width="9.1796875" bestFit="1" customWidth="1"/>
    <col min="6" max="6" width="20.1796875" bestFit="1" customWidth="1"/>
    <col min="7" max="7" width="14.36328125" bestFit="1" customWidth="1"/>
    <col min="8" max="8" width="12.36328125" bestFit="1" customWidth="1"/>
    <col min="9" max="9" width="14.81640625" customWidth="1"/>
    <col min="10" max="10" width="16.1796875" bestFit="1" customWidth="1"/>
    <col min="11" max="11" width="15.90625" style="4" bestFit="1" customWidth="1"/>
    <col min="12" max="12" width="13.54296875" style="4" bestFit="1" customWidth="1"/>
    <col min="13" max="13" width="21.26953125" style="4" bestFit="1" customWidth="1"/>
    <col min="14" max="14" width="21.08984375" style="4" bestFit="1" customWidth="1"/>
    <col min="15" max="15" width="16.54296875" style="5" bestFit="1" customWidth="1"/>
    <col min="16" max="16" width="16.1796875" style="6" bestFit="1" customWidth="1"/>
    <col min="17" max="17" width="21.1796875" style="8" bestFit="1" customWidth="1"/>
    <col min="18" max="18" width="13.7265625" bestFit="1" customWidth="1"/>
    <col min="19" max="19" width="14.36328125" bestFit="1" customWidth="1"/>
    <col min="20" max="20" width="17.26953125" style="9" bestFit="1" customWidth="1"/>
    <col min="21" max="21" width="15.7265625" bestFit="1" customWidth="1"/>
    <col min="22" max="22" width="10.6328125" bestFit="1" customWidth="1"/>
    <col min="23" max="23" width="17.6328125" bestFit="1" customWidth="1"/>
    <col min="24" max="24" width="17.54296875" bestFit="1" customWidth="1"/>
  </cols>
  <sheetData>
    <row r="1" spans="1:24" x14ac:dyDescent="0.35">
      <c r="A1" t="s">
        <v>0</v>
      </c>
      <c r="B1" t="s">
        <v>1</v>
      </c>
      <c r="C1" t="s">
        <v>806</v>
      </c>
      <c r="D1" t="s">
        <v>807</v>
      </c>
      <c r="E1" t="s">
        <v>2</v>
      </c>
      <c r="F1" t="s">
        <v>869</v>
      </c>
      <c r="G1" t="s">
        <v>3</v>
      </c>
      <c r="H1" t="s">
        <v>4</v>
      </c>
      <c r="I1" t="s">
        <v>5</v>
      </c>
      <c r="J1" t="s">
        <v>805</v>
      </c>
      <c r="K1" t="s">
        <v>6</v>
      </c>
      <c r="L1" t="s">
        <v>804</v>
      </c>
      <c r="M1" s="4" t="s">
        <v>7</v>
      </c>
      <c r="N1" s="4" t="s">
        <v>8</v>
      </c>
      <c r="O1" s="4" t="s">
        <v>808</v>
      </c>
      <c r="P1" s="4" t="s">
        <v>9</v>
      </c>
      <c r="Q1" s="4" t="s">
        <v>10</v>
      </c>
      <c r="R1" s="4" t="s">
        <v>809</v>
      </c>
      <c r="S1" s="4" t="s">
        <v>810</v>
      </c>
      <c r="T1" s="9" t="s">
        <v>811</v>
      </c>
      <c r="U1" s="5" t="s">
        <v>11</v>
      </c>
      <c r="V1" s="6" t="s">
        <v>12</v>
      </c>
      <c r="W1" s="8" t="s">
        <v>13</v>
      </c>
      <c r="X1" t="s">
        <v>881</v>
      </c>
    </row>
    <row r="2" spans="1:24" x14ac:dyDescent="0.35">
      <c r="A2" s="2" t="s">
        <v>14</v>
      </c>
      <c r="B2" s="3">
        <v>45781</v>
      </c>
      <c r="C2" s="3" t="str">
        <f>TEXT(Table1_1[[#This Row],[Date]],"YYYY")</f>
        <v>2025</v>
      </c>
      <c r="D2" s="3" t="str">
        <f>TEXT(Table1_1[[#This Row],[Date]],"mmm")</f>
        <v>May</v>
      </c>
      <c r="E2" s="2" t="s">
        <v>16</v>
      </c>
      <c r="F2" s="2" t="str">
        <f>INDEX(IndiGo_Flight_Data!$R$2:$R$11,MATCH(Table1_1[[#This Row],[Route]],_xlfn.ANCHORARRAY(IndiGo_Flight_Data!$Q$2),0))</f>
        <v>Delhi - Goa</v>
      </c>
      <c r="G2" s="2" t="s">
        <v>17</v>
      </c>
      <c r="H2">
        <v>52</v>
      </c>
      <c r="I2">
        <v>78</v>
      </c>
      <c r="J2">
        <f>Table1_1[[#This Row],[Seat_Capacity]]-Table1_1[[#This Row],[Passengers]]</f>
        <v>26</v>
      </c>
      <c r="K2">
        <v>66.67</v>
      </c>
      <c r="L2" t="str" cm="1">
        <f t="array" ref="L2">_xlfn.IFS(Table1_1[[#This Row],[Load_Factor_%]]&lt;60,"Low",Table1_1[[#This Row],[Load_Factor_%]]&lt;85,"Intermediate",Table1_1[[#This Row],[Load_Factor_%]]&gt;=85,"High")</f>
        <v>Intermediate</v>
      </c>
      <c r="M2" s="4">
        <v>416298</v>
      </c>
      <c r="N2" s="4">
        <v>137633</v>
      </c>
      <c r="O2" s="4">
        <f>SUM(Table1_1[[#This Row],[Ticket_Revenue_INR]:[Cargo_Revenue_INR]])</f>
        <v>553931</v>
      </c>
      <c r="P2" s="4">
        <v>553962</v>
      </c>
      <c r="Q2" s="4">
        <v>917488</v>
      </c>
      <c r="R2" s="4">
        <f>SUM(Table1_1[[#This Row],[Fuel_Cost_INR]:[Operating_Cost_INR]])</f>
        <v>1471450</v>
      </c>
      <c r="S2" s="4">
        <f>Table1_1[[#This Row],[Total_Revenue]]-Table1_1[[#This Row],[Total_Cost]]</f>
        <v>-917519</v>
      </c>
      <c r="T2" s="9">
        <f>(Table1_1[[#This Row],[Total_Profit]]/Table1_1[[#This Row],[Total_Revenue]])</f>
        <v>-1.6563777799039954</v>
      </c>
      <c r="U2" s="5">
        <v>32</v>
      </c>
      <c r="V2" s="6" t="s">
        <v>18</v>
      </c>
      <c r="W2" s="8">
        <v>4.5999999999999996</v>
      </c>
      <c r="X2" t="str" cm="1">
        <f t="array" ref="X2">_xlfn.IFS(Table1_1[[#This Row],[Customer_Rating]]&lt;3,"Poor",Table1_1[[#This Row],[Customer_Rating]]&lt;4,"Good",Table1_1[[#This Row],[Customer_Rating]]&gt;=4,"Excellent")</f>
        <v>Excellent</v>
      </c>
    </row>
    <row r="3" spans="1:24" x14ac:dyDescent="0.35">
      <c r="A3" s="2" t="s">
        <v>19</v>
      </c>
      <c r="B3" s="3">
        <v>45837</v>
      </c>
      <c r="C3" s="3" t="str">
        <f>TEXT(Table1_1[[#This Row],[Date]],"YYYY")</f>
        <v>2025</v>
      </c>
      <c r="D3" s="3" t="str">
        <f>TEXT(Table1_1[[#This Row],[Date]],"mmm")</f>
        <v>Jun</v>
      </c>
      <c r="E3" s="2" t="s">
        <v>21</v>
      </c>
      <c r="F3" s="2" t="str">
        <f>INDEX(IndiGo_Flight_Data!$R$2:$R$11,MATCH(Table1_1[[#This Row],[Route]],_xlfn.ANCHORARRAY(IndiGo_Flight_Data!$Q$2),0))</f>
        <v>Bengaluru - Hyderabad</v>
      </c>
      <c r="G3" s="2" t="s">
        <v>17</v>
      </c>
      <c r="H3">
        <v>69</v>
      </c>
      <c r="I3">
        <v>78</v>
      </c>
      <c r="J3">
        <f>Table1_1[[#This Row],[Seat_Capacity]]-Table1_1[[#This Row],[Passengers]]</f>
        <v>9</v>
      </c>
      <c r="K3">
        <v>88.46</v>
      </c>
      <c r="L3" t="str" cm="1">
        <f t="array" ref="L3">_xlfn.IFS(Table1_1[[#This Row],[Load_Factor_%]]&lt;60,"Low",Table1_1[[#This Row],[Load_Factor_%]]&lt;85,"Intermediate",Table1_1[[#This Row],[Load_Factor_%]]&gt;=85,"High")</f>
        <v>High</v>
      </c>
      <c r="M3" s="4">
        <v>433932</v>
      </c>
      <c r="N3" s="4">
        <v>123900</v>
      </c>
      <c r="O3" s="4">
        <f>SUM(Table1_1[[#This Row],[Ticket_Revenue_INR]:[Cargo_Revenue_INR]])</f>
        <v>557832</v>
      </c>
      <c r="P3" s="4">
        <v>1081206</v>
      </c>
      <c r="Q3" s="4">
        <v>1579555</v>
      </c>
      <c r="R3" s="4">
        <f>SUM(Table1_1[[#This Row],[Fuel_Cost_INR]:[Operating_Cost_INR]])</f>
        <v>2660761</v>
      </c>
      <c r="S3" s="4">
        <f>Table1_1[[#This Row],[Total_Revenue]]-Table1_1[[#This Row],[Total_Cost]]</f>
        <v>-2102929</v>
      </c>
      <c r="T3" s="9">
        <f>(Table1_1[[#This Row],[Total_Profit]]/Table1_1[[#This Row],[Total_Revenue]])</f>
        <v>-3.7698249652225044</v>
      </c>
      <c r="U3" s="5">
        <v>51</v>
      </c>
      <c r="V3" s="6" t="s">
        <v>18</v>
      </c>
      <c r="W3" s="8">
        <v>4.5999999999999996</v>
      </c>
      <c r="X3" t="str" cm="1">
        <f t="array" ref="X3">_xlfn.IFS(Table1_1[[#This Row],[Customer_Rating]]&lt;3,"Poor",Table1_1[[#This Row],[Customer_Rating]]&lt;4,"Good",Table1_1[[#This Row],[Customer_Rating]]&gt;=4,"Excellent")</f>
        <v>Excellent</v>
      </c>
    </row>
    <row r="4" spans="1:24" x14ac:dyDescent="0.35">
      <c r="A4" s="2" t="s">
        <v>22</v>
      </c>
      <c r="B4" s="3">
        <v>45795</v>
      </c>
      <c r="C4" s="3" t="str">
        <f>TEXT(Table1_1[[#This Row],[Date]],"YYYY")</f>
        <v>2025</v>
      </c>
      <c r="D4" s="3" t="str">
        <f>TEXT(Table1_1[[#This Row],[Date]],"mmm")</f>
        <v>May</v>
      </c>
      <c r="E4" s="2" t="s">
        <v>16</v>
      </c>
      <c r="F4" s="2" t="str">
        <f>INDEX(IndiGo_Flight_Data!$R$2:$R$11,MATCH(Table1_1[[#This Row],[Route]],_xlfn.ANCHORARRAY(IndiGo_Flight_Data!$Q$2),0))</f>
        <v>Delhi - Goa</v>
      </c>
      <c r="G4" s="2" t="s">
        <v>24</v>
      </c>
      <c r="H4">
        <v>156</v>
      </c>
      <c r="I4">
        <v>180</v>
      </c>
      <c r="J4">
        <f>Table1_1[[#This Row],[Seat_Capacity]]-Table1_1[[#This Row],[Passengers]]</f>
        <v>24</v>
      </c>
      <c r="K4">
        <v>86.67</v>
      </c>
      <c r="L4" t="str" cm="1">
        <f t="array" ref="L4">_xlfn.IFS(Table1_1[[#This Row],[Load_Factor_%]]&lt;60,"Low",Table1_1[[#This Row],[Load_Factor_%]]&lt;85,"Intermediate",Table1_1[[#This Row],[Load_Factor_%]]&gt;=85,"High")</f>
        <v>High</v>
      </c>
      <c r="M4" s="4">
        <v>1160664</v>
      </c>
      <c r="N4" s="4">
        <v>88975</v>
      </c>
      <c r="O4" s="4">
        <f>SUM(Table1_1[[#This Row],[Ticket_Revenue_INR]:[Cargo_Revenue_INR]])</f>
        <v>1249639</v>
      </c>
      <c r="P4" s="4">
        <v>571295</v>
      </c>
      <c r="Q4" s="4">
        <v>1181899</v>
      </c>
      <c r="R4" s="4">
        <f>SUM(Table1_1[[#This Row],[Fuel_Cost_INR]:[Operating_Cost_INR]])</f>
        <v>1753194</v>
      </c>
      <c r="S4" s="4">
        <f>Table1_1[[#This Row],[Total_Revenue]]-Table1_1[[#This Row],[Total_Cost]]</f>
        <v>-503555</v>
      </c>
      <c r="T4" s="9">
        <f>(Table1_1[[#This Row],[Total_Profit]]/Table1_1[[#This Row],[Total_Revenue]])</f>
        <v>-0.40296037495628739</v>
      </c>
      <c r="U4" s="5">
        <v>59</v>
      </c>
      <c r="V4" s="6" t="s">
        <v>18</v>
      </c>
      <c r="W4" s="8">
        <v>4</v>
      </c>
      <c r="X4" t="str" cm="1">
        <f t="array" ref="X4">_xlfn.IFS(Table1_1[[#This Row],[Customer_Rating]]&lt;3,"Poor",Table1_1[[#This Row],[Customer_Rating]]&lt;4,"Good",Table1_1[[#This Row],[Customer_Rating]]&gt;=4,"Excellent")</f>
        <v>Excellent</v>
      </c>
    </row>
    <row r="5" spans="1:24" x14ac:dyDescent="0.35">
      <c r="A5" s="2" t="s">
        <v>25</v>
      </c>
      <c r="B5" s="3">
        <v>45839</v>
      </c>
      <c r="C5" s="3" t="str">
        <f>TEXT(Table1_1[[#This Row],[Date]],"YYYY")</f>
        <v>2025</v>
      </c>
      <c r="D5" s="3" t="str">
        <f>TEXT(Table1_1[[#This Row],[Date]],"mmm")</f>
        <v>Jul</v>
      </c>
      <c r="E5" s="2" t="s">
        <v>21</v>
      </c>
      <c r="F5" s="2" t="str">
        <f>INDEX(IndiGo_Flight_Data!$R$2:$R$11,MATCH(Table1_1[[#This Row],[Route]],_xlfn.ANCHORARRAY(IndiGo_Flight_Data!$Q$2),0))</f>
        <v>Bengaluru - Hyderabad</v>
      </c>
      <c r="G5" s="2" t="s">
        <v>24</v>
      </c>
      <c r="H5">
        <v>119</v>
      </c>
      <c r="I5">
        <v>180</v>
      </c>
      <c r="J5">
        <f>Table1_1[[#This Row],[Seat_Capacity]]-Table1_1[[#This Row],[Passengers]]</f>
        <v>61</v>
      </c>
      <c r="K5">
        <v>66.11</v>
      </c>
      <c r="L5" t="str" cm="1">
        <f t="array" ref="L5">_xlfn.IFS(Table1_1[[#This Row],[Load_Factor_%]]&lt;60,"Low",Table1_1[[#This Row],[Load_Factor_%]]&lt;85,"Intermediate",Table1_1[[#This Row],[Load_Factor_%]]&gt;=85,"High")</f>
        <v>Intermediate</v>
      </c>
      <c r="M5" s="4">
        <v>563493</v>
      </c>
      <c r="N5" s="4">
        <v>94456</v>
      </c>
      <c r="O5" s="4">
        <f>SUM(Table1_1[[#This Row],[Ticket_Revenue_INR]:[Cargo_Revenue_INR]])</f>
        <v>657949</v>
      </c>
      <c r="P5" s="4">
        <v>667033</v>
      </c>
      <c r="Q5" s="4">
        <v>1061516</v>
      </c>
      <c r="R5" s="4">
        <f>SUM(Table1_1[[#This Row],[Fuel_Cost_INR]:[Operating_Cost_INR]])</f>
        <v>1728549</v>
      </c>
      <c r="S5" s="4">
        <f>Table1_1[[#This Row],[Total_Revenue]]-Table1_1[[#This Row],[Total_Cost]]</f>
        <v>-1070600</v>
      </c>
      <c r="T5" s="9">
        <f>(Table1_1[[#This Row],[Total_Profit]]/Table1_1[[#This Row],[Total_Revenue]])</f>
        <v>-1.6271777903758498</v>
      </c>
      <c r="U5" s="5">
        <v>58</v>
      </c>
      <c r="V5" s="6" t="s">
        <v>18</v>
      </c>
      <c r="W5" s="8">
        <v>4</v>
      </c>
      <c r="X5" t="str" cm="1">
        <f t="array" ref="X5">_xlfn.IFS(Table1_1[[#This Row],[Customer_Rating]]&lt;3,"Poor",Table1_1[[#This Row],[Customer_Rating]]&lt;4,"Good",Table1_1[[#This Row],[Customer_Rating]]&gt;=4,"Excellent")</f>
        <v>Excellent</v>
      </c>
    </row>
    <row r="6" spans="1:24" x14ac:dyDescent="0.35">
      <c r="A6" s="2" t="s">
        <v>27</v>
      </c>
      <c r="B6" s="3">
        <v>46005</v>
      </c>
      <c r="C6" s="3" t="str">
        <f>TEXT(Table1_1[[#This Row],[Date]],"YYYY")</f>
        <v>2025</v>
      </c>
      <c r="D6" s="3" t="str">
        <f>TEXT(Table1_1[[#This Row],[Date]],"mmm")</f>
        <v>Dec</v>
      </c>
      <c r="E6" s="2" t="s">
        <v>29</v>
      </c>
      <c r="F6" s="2" t="str">
        <f>INDEX(IndiGo_Flight_Data!$R$2:$R$11,MATCH(Table1_1[[#This Row],[Route]],_xlfn.ANCHORARRAY(IndiGo_Flight_Data!$Q$2),0))</f>
        <v>Calacatta - Delhi</v>
      </c>
      <c r="G6" s="2" t="s">
        <v>24</v>
      </c>
      <c r="H6">
        <v>160</v>
      </c>
      <c r="I6">
        <v>180</v>
      </c>
      <c r="J6">
        <f>Table1_1[[#This Row],[Seat_Capacity]]-Table1_1[[#This Row],[Passengers]]</f>
        <v>20</v>
      </c>
      <c r="K6">
        <v>88.89</v>
      </c>
      <c r="L6" t="str" cm="1">
        <f t="array" ref="L6">_xlfn.IFS(Table1_1[[#This Row],[Load_Factor_%]]&lt;60,"Low",Table1_1[[#This Row],[Load_Factor_%]]&lt;85,"Intermediate",Table1_1[[#This Row],[Load_Factor_%]]&gt;=85,"High")</f>
        <v>High</v>
      </c>
      <c r="M6" s="4">
        <v>1412044</v>
      </c>
      <c r="N6" s="4">
        <v>38174</v>
      </c>
      <c r="O6" s="4">
        <f>SUM(Table1_1[[#This Row],[Ticket_Revenue_INR]:[Cargo_Revenue_INR]])</f>
        <v>1450218</v>
      </c>
      <c r="P6" s="4">
        <v>538384</v>
      </c>
      <c r="Q6" s="4">
        <v>1144881</v>
      </c>
      <c r="R6" s="4">
        <f>SUM(Table1_1[[#This Row],[Fuel_Cost_INR]:[Operating_Cost_INR]])</f>
        <v>1683265</v>
      </c>
      <c r="S6" s="4">
        <f>Table1_1[[#This Row],[Total_Revenue]]-Table1_1[[#This Row],[Total_Cost]]</f>
        <v>-233047</v>
      </c>
      <c r="T6" s="9">
        <f>(Table1_1[[#This Row],[Total_Profit]]/Table1_1[[#This Row],[Total_Revenue]])</f>
        <v>-0.16069790886611529</v>
      </c>
      <c r="U6" s="5">
        <v>88</v>
      </c>
      <c r="V6" s="6" t="s">
        <v>18</v>
      </c>
      <c r="W6" s="8">
        <v>4.8</v>
      </c>
      <c r="X6" t="str" cm="1">
        <f t="array" ref="X6">_xlfn.IFS(Table1_1[[#This Row],[Customer_Rating]]&lt;3,"Poor",Table1_1[[#This Row],[Customer_Rating]]&lt;4,"Good",Table1_1[[#This Row],[Customer_Rating]]&gt;=4,"Excellent")</f>
        <v>Excellent</v>
      </c>
    </row>
    <row r="7" spans="1:24" x14ac:dyDescent="0.35">
      <c r="A7" s="2" t="s">
        <v>30</v>
      </c>
      <c r="B7" s="3">
        <v>45720</v>
      </c>
      <c r="C7" s="3" t="str">
        <f>TEXT(Table1_1[[#This Row],[Date]],"YYYY")</f>
        <v>2025</v>
      </c>
      <c r="D7" s="3" t="str">
        <f>TEXT(Table1_1[[#This Row],[Date]],"mmm")</f>
        <v>Mar</v>
      </c>
      <c r="E7" s="2" t="s">
        <v>32</v>
      </c>
      <c r="F7" s="2" t="str">
        <f>INDEX(IndiGo_Flight_Data!$R$2:$R$11,MATCH(Table1_1[[#This Row],[Route]],_xlfn.ANCHORARRAY(IndiGo_Flight_Data!$Q$2),0))</f>
        <v>Bengaluru - Cochin</v>
      </c>
      <c r="G7" s="2" t="s">
        <v>24</v>
      </c>
      <c r="H7">
        <v>120</v>
      </c>
      <c r="I7">
        <v>180</v>
      </c>
      <c r="J7">
        <f>Table1_1[[#This Row],[Seat_Capacity]]-Table1_1[[#This Row],[Passengers]]</f>
        <v>60</v>
      </c>
      <c r="K7">
        <v>66.67</v>
      </c>
      <c r="L7" t="str" cm="1">
        <f t="array" ref="L7">_xlfn.IFS(Table1_1[[#This Row],[Load_Factor_%]]&lt;60,"Low",Table1_1[[#This Row],[Load_Factor_%]]&lt;85,"Intermediate",Table1_1[[#This Row],[Load_Factor_%]]&gt;=85,"High")</f>
        <v>Intermediate</v>
      </c>
      <c r="M7" s="4">
        <v>1076575</v>
      </c>
      <c r="N7" s="4">
        <v>23868</v>
      </c>
      <c r="O7" s="4">
        <f>SUM(Table1_1[[#This Row],[Ticket_Revenue_INR]:[Cargo_Revenue_INR]])</f>
        <v>1100443</v>
      </c>
      <c r="P7" s="4">
        <v>595707</v>
      </c>
      <c r="Q7" s="4">
        <v>701587</v>
      </c>
      <c r="R7" s="4">
        <f>SUM(Table1_1[[#This Row],[Fuel_Cost_INR]:[Operating_Cost_INR]])</f>
        <v>1297294</v>
      </c>
      <c r="S7" s="4">
        <f>Table1_1[[#This Row],[Total_Revenue]]-Table1_1[[#This Row],[Total_Cost]]</f>
        <v>-196851</v>
      </c>
      <c r="T7" s="9">
        <f>(Table1_1[[#This Row],[Total_Profit]]/Table1_1[[#This Row],[Total_Revenue]])</f>
        <v>-0.17888341331627353</v>
      </c>
      <c r="U7" s="5">
        <v>13</v>
      </c>
      <c r="V7" s="6" t="s">
        <v>33</v>
      </c>
      <c r="W7" s="8">
        <v>3.6</v>
      </c>
      <c r="X7" t="str" cm="1">
        <f t="array" ref="X7">_xlfn.IFS(Table1_1[[#This Row],[Customer_Rating]]&lt;3,"Poor",Table1_1[[#This Row],[Customer_Rating]]&lt;4,"Good",Table1_1[[#This Row],[Customer_Rating]]&gt;=4,"Excellent")</f>
        <v>Good</v>
      </c>
    </row>
    <row r="8" spans="1:24" x14ac:dyDescent="0.35">
      <c r="A8" s="2" t="s">
        <v>34</v>
      </c>
      <c r="B8" s="3">
        <v>45792</v>
      </c>
      <c r="C8" s="3" t="str">
        <f>TEXT(Table1_1[[#This Row],[Date]],"YYYY")</f>
        <v>2025</v>
      </c>
      <c r="D8" s="3" t="str">
        <f>TEXT(Table1_1[[#This Row],[Date]],"mmm")</f>
        <v>May</v>
      </c>
      <c r="E8" s="2" t="s">
        <v>36</v>
      </c>
      <c r="F8" s="2" t="str">
        <f>INDEX(IndiGo_Flight_Data!$R$2:$R$11,MATCH(Table1_1[[#This Row],[Route]],_xlfn.ANCHORARRAY(IndiGo_Flight_Data!$Q$2),0))</f>
        <v>Delhi - Bombay</v>
      </c>
      <c r="G8" s="2" t="s">
        <v>17</v>
      </c>
      <c r="H8">
        <v>61</v>
      </c>
      <c r="I8">
        <v>78</v>
      </c>
      <c r="J8">
        <f>Table1_1[[#This Row],[Seat_Capacity]]-Table1_1[[#This Row],[Passengers]]</f>
        <v>17</v>
      </c>
      <c r="K8">
        <v>78.209999999999994</v>
      </c>
      <c r="L8" t="str" cm="1">
        <f t="array" ref="L8">_xlfn.IFS(Table1_1[[#This Row],[Load_Factor_%]]&lt;60,"Low",Table1_1[[#This Row],[Load_Factor_%]]&lt;85,"Intermediate",Table1_1[[#This Row],[Load_Factor_%]]&gt;=85,"High")</f>
        <v>Intermediate</v>
      </c>
      <c r="M8" s="4">
        <v>525482</v>
      </c>
      <c r="N8" s="4">
        <v>18066</v>
      </c>
      <c r="O8" s="4">
        <f>SUM(Table1_1[[#This Row],[Ticket_Revenue_INR]:[Cargo_Revenue_INR]])</f>
        <v>543548</v>
      </c>
      <c r="P8" s="4">
        <v>775146</v>
      </c>
      <c r="Q8" s="4">
        <v>1167203</v>
      </c>
      <c r="R8" s="4">
        <f>SUM(Table1_1[[#This Row],[Fuel_Cost_INR]:[Operating_Cost_INR]])</f>
        <v>1942349</v>
      </c>
      <c r="S8" s="4">
        <f>Table1_1[[#This Row],[Total_Revenue]]-Table1_1[[#This Row],[Total_Cost]]</f>
        <v>-1398801</v>
      </c>
      <c r="T8" s="9">
        <f>(Table1_1[[#This Row],[Total_Profit]]/Table1_1[[#This Row],[Total_Revenue]])</f>
        <v>-2.5734636131491606</v>
      </c>
      <c r="U8" s="5">
        <v>77</v>
      </c>
      <c r="V8" s="6" t="s">
        <v>18</v>
      </c>
      <c r="W8" s="8">
        <v>4.4000000000000004</v>
      </c>
      <c r="X8" t="str" cm="1">
        <f t="array" ref="X8">_xlfn.IFS(Table1_1[[#This Row],[Customer_Rating]]&lt;3,"Poor",Table1_1[[#This Row],[Customer_Rating]]&lt;4,"Good",Table1_1[[#This Row],[Customer_Rating]]&gt;=4,"Excellent")</f>
        <v>Excellent</v>
      </c>
    </row>
    <row r="9" spans="1:24" x14ac:dyDescent="0.35">
      <c r="A9" s="2" t="s">
        <v>37</v>
      </c>
      <c r="B9" s="3">
        <v>45909</v>
      </c>
      <c r="C9" s="3" t="str">
        <f>TEXT(Table1_1[[#This Row],[Date]],"YYYY")</f>
        <v>2025</v>
      </c>
      <c r="D9" s="3" t="str">
        <f>TEXT(Table1_1[[#This Row],[Date]],"mmm")</f>
        <v>Sep</v>
      </c>
      <c r="E9" s="2" t="s">
        <v>39</v>
      </c>
      <c r="F9" s="2" t="str">
        <f>INDEX(IndiGo_Flight_Data!$R$2:$R$11,MATCH(Table1_1[[#This Row],[Route]],_xlfn.ANCHORARRAY(IndiGo_Flight_Data!$Q$2),0))</f>
        <v>Bengaluru - Delhi</v>
      </c>
      <c r="G9" s="2" t="s">
        <v>17</v>
      </c>
      <c r="H9">
        <v>58</v>
      </c>
      <c r="I9">
        <v>78</v>
      </c>
      <c r="J9">
        <f>Table1_1[[#This Row],[Seat_Capacity]]-Table1_1[[#This Row],[Passengers]]</f>
        <v>20</v>
      </c>
      <c r="K9">
        <v>74.36</v>
      </c>
      <c r="L9" t="str" cm="1">
        <f t="array" ref="L9">_xlfn.IFS(Table1_1[[#This Row],[Load_Factor_%]]&lt;60,"Low",Table1_1[[#This Row],[Load_Factor_%]]&lt;85,"Intermediate",Table1_1[[#This Row],[Load_Factor_%]]&gt;=85,"High")</f>
        <v>Intermediate</v>
      </c>
      <c r="M9" s="4">
        <v>278077</v>
      </c>
      <c r="N9" s="4">
        <v>81793</v>
      </c>
      <c r="O9" s="4">
        <f>SUM(Table1_1[[#This Row],[Ticket_Revenue_INR]:[Cargo_Revenue_INR]])</f>
        <v>359870</v>
      </c>
      <c r="P9" s="4">
        <v>903917</v>
      </c>
      <c r="Q9" s="4">
        <v>1089040</v>
      </c>
      <c r="R9" s="4">
        <f>SUM(Table1_1[[#This Row],[Fuel_Cost_INR]:[Operating_Cost_INR]])</f>
        <v>1992957</v>
      </c>
      <c r="S9" s="4">
        <f>Table1_1[[#This Row],[Total_Revenue]]-Table1_1[[#This Row],[Total_Cost]]</f>
        <v>-1633087</v>
      </c>
      <c r="T9" s="9">
        <f>(Table1_1[[#This Row],[Total_Profit]]/Table1_1[[#This Row],[Total_Revenue]])</f>
        <v>-4.5379914969294468</v>
      </c>
      <c r="U9" s="5">
        <v>66</v>
      </c>
      <c r="V9" s="6" t="s">
        <v>18</v>
      </c>
      <c r="W9" s="8">
        <v>3.5</v>
      </c>
      <c r="X9" t="str" cm="1">
        <f t="array" ref="X9">_xlfn.IFS(Table1_1[[#This Row],[Customer_Rating]]&lt;3,"Poor",Table1_1[[#This Row],[Customer_Rating]]&lt;4,"Good",Table1_1[[#This Row],[Customer_Rating]]&gt;=4,"Excellent")</f>
        <v>Good</v>
      </c>
    </row>
    <row r="10" spans="1:24" x14ac:dyDescent="0.35">
      <c r="A10" s="2" t="s">
        <v>40</v>
      </c>
      <c r="B10" s="3">
        <v>45758</v>
      </c>
      <c r="C10" s="3" t="str">
        <f>TEXT(Table1_1[[#This Row],[Date]],"YYYY")</f>
        <v>2025</v>
      </c>
      <c r="D10" s="3" t="str">
        <f>TEXT(Table1_1[[#This Row],[Date]],"mmm")</f>
        <v>Apr</v>
      </c>
      <c r="E10" s="2" t="s">
        <v>42</v>
      </c>
      <c r="F10" s="2" t="str">
        <f>INDEX(IndiGo_Flight_Data!$R$2:$R$11,MATCH(Table1_1[[#This Row],[Route]],_xlfn.ANCHORARRAY(IndiGo_Flight_Data!$Q$2),0))</f>
        <v>Bombay - Hyderabad</v>
      </c>
      <c r="G10" s="2" t="s">
        <v>43</v>
      </c>
      <c r="H10">
        <v>150</v>
      </c>
      <c r="I10">
        <v>232</v>
      </c>
      <c r="J10">
        <f>Table1_1[[#This Row],[Seat_Capacity]]-Table1_1[[#This Row],[Passengers]]</f>
        <v>82</v>
      </c>
      <c r="K10">
        <v>64.66</v>
      </c>
      <c r="L10" t="str" cm="1">
        <f t="array" ref="L10">_xlfn.IFS(Table1_1[[#This Row],[Load_Factor_%]]&lt;60,"Low",Table1_1[[#This Row],[Load_Factor_%]]&lt;85,"Intermediate",Table1_1[[#This Row],[Load_Factor_%]]&gt;=85,"High")</f>
        <v>Intermediate</v>
      </c>
      <c r="M10" s="4">
        <v>560539</v>
      </c>
      <c r="N10" s="4">
        <v>71419</v>
      </c>
      <c r="O10" s="4">
        <f>SUM(Table1_1[[#This Row],[Ticket_Revenue_INR]:[Cargo_Revenue_INR]])</f>
        <v>631958</v>
      </c>
      <c r="P10" s="4">
        <v>326492</v>
      </c>
      <c r="Q10" s="4">
        <v>780855</v>
      </c>
      <c r="R10" s="4">
        <f>SUM(Table1_1[[#This Row],[Fuel_Cost_INR]:[Operating_Cost_INR]])</f>
        <v>1107347</v>
      </c>
      <c r="S10" s="4">
        <f>Table1_1[[#This Row],[Total_Revenue]]-Table1_1[[#This Row],[Total_Cost]]</f>
        <v>-475389</v>
      </c>
      <c r="T10" s="9">
        <f>(Table1_1[[#This Row],[Total_Profit]]/Table1_1[[#This Row],[Total_Revenue]])</f>
        <v>-0.75224777595979475</v>
      </c>
      <c r="U10" s="5">
        <v>28</v>
      </c>
      <c r="V10" s="6" t="s">
        <v>18</v>
      </c>
      <c r="W10" s="8">
        <v>4</v>
      </c>
      <c r="X10" t="str" cm="1">
        <f t="array" ref="X10">_xlfn.IFS(Table1_1[[#This Row],[Customer_Rating]]&lt;3,"Poor",Table1_1[[#This Row],[Customer_Rating]]&lt;4,"Good",Table1_1[[#This Row],[Customer_Rating]]&gt;=4,"Excellent")</f>
        <v>Excellent</v>
      </c>
    </row>
    <row r="11" spans="1:24" x14ac:dyDescent="0.35">
      <c r="A11" s="2" t="s">
        <v>44</v>
      </c>
      <c r="B11" s="3">
        <v>45828</v>
      </c>
      <c r="C11" s="3" t="str">
        <f>TEXT(Table1_1[[#This Row],[Date]],"YYYY")</f>
        <v>2025</v>
      </c>
      <c r="D11" s="3" t="str">
        <f>TEXT(Table1_1[[#This Row],[Date]],"mmm")</f>
        <v>Jun</v>
      </c>
      <c r="E11" s="2" t="s">
        <v>36</v>
      </c>
      <c r="F11" s="2" t="str">
        <f>INDEX(IndiGo_Flight_Data!$R$2:$R$11,MATCH(Table1_1[[#This Row],[Route]],_xlfn.ANCHORARRAY(IndiGo_Flight_Data!$Q$2),0))</f>
        <v>Delhi - Bombay</v>
      </c>
      <c r="G11" s="2" t="s">
        <v>24</v>
      </c>
      <c r="H11">
        <v>143</v>
      </c>
      <c r="I11">
        <v>180</v>
      </c>
      <c r="J11">
        <f>Table1_1[[#This Row],[Seat_Capacity]]-Table1_1[[#This Row],[Passengers]]</f>
        <v>37</v>
      </c>
      <c r="K11">
        <v>79.44</v>
      </c>
      <c r="L11" t="str" cm="1">
        <f t="array" ref="L11">_xlfn.IFS(Table1_1[[#This Row],[Load_Factor_%]]&lt;60,"Low",Table1_1[[#This Row],[Load_Factor_%]]&lt;85,"Intermediate",Table1_1[[#This Row],[Load_Factor_%]]&gt;=85,"High")</f>
        <v>Intermediate</v>
      </c>
      <c r="M11" s="4">
        <v>1199770</v>
      </c>
      <c r="N11" s="4">
        <v>47837</v>
      </c>
      <c r="O11" s="4">
        <f>SUM(Table1_1[[#This Row],[Ticket_Revenue_INR]:[Cargo_Revenue_INR]])</f>
        <v>1247607</v>
      </c>
      <c r="P11" s="4">
        <v>350273</v>
      </c>
      <c r="Q11" s="4">
        <v>569894</v>
      </c>
      <c r="R11" s="4">
        <f>SUM(Table1_1[[#This Row],[Fuel_Cost_INR]:[Operating_Cost_INR]])</f>
        <v>920167</v>
      </c>
      <c r="S11" s="4">
        <f>Table1_1[[#This Row],[Total_Revenue]]-Table1_1[[#This Row],[Total_Cost]]</f>
        <v>327440</v>
      </c>
      <c r="T11" s="9">
        <f>(Table1_1[[#This Row],[Total_Profit]]/Table1_1[[#This Row],[Total_Revenue]])</f>
        <v>0.26245444278526814</v>
      </c>
      <c r="U11" s="5">
        <v>62</v>
      </c>
      <c r="V11" s="6" t="s">
        <v>18</v>
      </c>
      <c r="W11" s="8">
        <v>4.5</v>
      </c>
      <c r="X11" t="str" cm="1">
        <f t="array" ref="X11">_xlfn.IFS(Table1_1[[#This Row],[Customer_Rating]]&lt;3,"Poor",Table1_1[[#This Row],[Customer_Rating]]&lt;4,"Good",Table1_1[[#This Row],[Customer_Rating]]&gt;=4,"Excellent")</f>
        <v>Excellent</v>
      </c>
    </row>
    <row r="12" spans="1:24" x14ac:dyDescent="0.35">
      <c r="A12" s="2" t="s">
        <v>46</v>
      </c>
      <c r="B12" s="3">
        <v>46008</v>
      </c>
      <c r="C12" s="3" t="str">
        <f>TEXT(Table1_1[[#This Row],[Date]],"YYYY")</f>
        <v>2025</v>
      </c>
      <c r="D12" s="3" t="str">
        <f>TEXT(Table1_1[[#This Row],[Date]],"mmm")</f>
        <v>Dec</v>
      </c>
      <c r="E12" s="2" t="s">
        <v>32</v>
      </c>
      <c r="F12" s="2" t="str">
        <f>INDEX(IndiGo_Flight_Data!$R$2:$R$11,MATCH(Table1_1[[#This Row],[Route]],_xlfn.ANCHORARRAY(IndiGo_Flight_Data!$Q$2),0))</f>
        <v>Bengaluru - Cochin</v>
      </c>
      <c r="G12" s="2" t="s">
        <v>24</v>
      </c>
      <c r="H12">
        <v>176</v>
      </c>
      <c r="I12">
        <v>180</v>
      </c>
      <c r="J12">
        <f>Table1_1[[#This Row],[Seat_Capacity]]-Table1_1[[#This Row],[Passengers]]</f>
        <v>4</v>
      </c>
      <c r="K12">
        <v>97.78</v>
      </c>
      <c r="L12" t="str" cm="1">
        <f t="array" ref="L12">_xlfn.IFS(Table1_1[[#This Row],[Load_Factor_%]]&lt;60,"Low",Table1_1[[#This Row],[Load_Factor_%]]&lt;85,"Intermediate",Table1_1[[#This Row],[Load_Factor_%]]&gt;=85,"High")</f>
        <v>High</v>
      </c>
      <c r="M12" s="4">
        <v>1405015</v>
      </c>
      <c r="N12" s="4">
        <v>105673</v>
      </c>
      <c r="O12" s="4">
        <f>SUM(Table1_1[[#This Row],[Ticket_Revenue_INR]:[Cargo_Revenue_INR]])</f>
        <v>1510688</v>
      </c>
      <c r="P12" s="4">
        <v>627493</v>
      </c>
      <c r="Q12" s="4">
        <v>1041494</v>
      </c>
      <c r="R12" s="4">
        <f>SUM(Table1_1[[#This Row],[Fuel_Cost_INR]:[Operating_Cost_INR]])</f>
        <v>1668987</v>
      </c>
      <c r="S12" s="4">
        <f>Table1_1[[#This Row],[Total_Revenue]]-Table1_1[[#This Row],[Total_Cost]]</f>
        <v>-158299</v>
      </c>
      <c r="T12" s="9">
        <f>(Table1_1[[#This Row],[Total_Profit]]/Table1_1[[#This Row],[Total_Revenue]])</f>
        <v>-0.10478603126522486</v>
      </c>
      <c r="U12" s="5">
        <v>75</v>
      </c>
      <c r="V12" s="6" t="s">
        <v>18</v>
      </c>
      <c r="W12" s="8">
        <v>3.8</v>
      </c>
      <c r="X12" t="str" cm="1">
        <f t="array" ref="X12">_xlfn.IFS(Table1_1[[#This Row],[Customer_Rating]]&lt;3,"Poor",Table1_1[[#This Row],[Customer_Rating]]&lt;4,"Good",Table1_1[[#This Row],[Customer_Rating]]&gt;=4,"Excellent")</f>
        <v>Good</v>
      </c>
    </row>
    <row r="13" spans="1:24" x14ac:dyDescent="0.35">
      <c r="A13" s="2" t="s">
        <v>48</v>
      </c>
      <c r="B13" s="3">
        <v>45949</v>
      </c>
      <c r="C13" s="3" t="str">
        <f>TEXT(Table1_1[[#This Row],[Date]],"YYYY")</f>
        <v>2025</v>
      </c>
      <c r="D13" s="3" t="str">
        <f>TEXT(Table1_1[[#This Row],[Date]],"mmm")</f>
        <v>Oct</v>
      </c>
      <c r="E13" s="2" t="s">
        <v>32</v>
      </c>
      <c r="F13" s="2" t="str">
        <f>INDEX(IndiGo_Flight_Data!$R$2:$R$11,MATCH(Table1_1[[#This Row],[Route]],_xlfn.ANCHORARRAY(IndiGo_Flight_Data!$Q$2),0))</f>
        <v>Bengaluru - Cochin</v>
      </c>
      <c r="G13" s="2" t="s">
        <v>24</v>
      </c>
      <c r="H13">
        <v>143</v>
      </c>
      <c r="I13">
        <v>180</v>
      </c>
      <c r="J13">
        <f>Table1_1[[#This Row],[Seat_Capacity]]-Table1_1[[#This Row],[Passengers]]</f>
        <v>37</v>
      </c>
      <c r="K13">
        <v>79.44</v>
      </c>
      <c r="L13" t="str" cm="1">
        <f t="array" ref="L13">_xlfn.IFS(Table1_1[[#This Row],[Load_Factor_%]]&lt;60,"Low",Table1_1[[#This Row],[Load_Factor_%]]&lt;85,"Intermediate",Table1_1[[#This Row],[Load_Factor_%]]&gt;=85,"High")</f>
        <v>Intermediate</v>
      </c>
      <c r="M13" s="4">
        <v>864445</v>
      </c>
      <c r="N13" s="4">
        <v>19002</v>
      </c>
      <c r="O13" s="4">
        <f>SUM(Table1_1[[#This Row],[Ticket_Revenue_INR]:[Cargo_Revenue_INR]])</f>
        <v>883447</v>
      </c>
      <c r="P13" s="4">
        <v>452383</v>
      </c>
      <c r="Q13" s="4">
        <v>869213</v>
      </c>
      <c r="R13" s="4">
        <f>SUM(Table1_1[[#This Row],[Fuel_Cost_INR]:[Operating_Cost_INR]])</f>
        <v>1321596</v>
      </c>
      <c r="S13" s="4">
        <f>Table1_1[[#This Row],[Total_Revenue]]-Table1_1[[#This Row],[Total_Cost]]</f>
        <v>-438149</v>
      </c>
      <c r="T13" s="9">
        <f>(Table1_1[[#This Row],[Total_Profit]]/Table1_1[[#This Row],[Total_Revenue]])</f>
        <v>-0.49595391687333817</v>
      </c>
      <c r="U13" s="5">
        <v>68</v>
      </c>
      <c r="V13" s="6" t="s">
        <v>18</v>
      </c>
      <c r="W13" s="8">
        <v>4.5</v>
      </c>
      <c r="X13" t="str" cm="1">
        <f t="array" ref="X13">_xlfn.IFS(Table1_1[[#This Row],[Customer_Rating]]&lt;3,"Poor",Table1_1[[#This Row],[Customer_Rating]]&lt;4,"Good",Table1_1[[#This Row],[Customer_Rating]]&gt;=4,"Excellent")</f>
        <v>Excellent</v>
      </c>
    </row>
    <row r="14" spans="1:24" x14ac:dyDescent="0.35">
      <c r="A14" s="2" t="s">
        <v>50</v>
      </c>
      <c r="B14" s="3">
        <v>45792</v>
      </c>
      <c r="C14" s="3" t="str">
        <f>TEXT(Table1_1[[#This Row],[Date]],"YYYY")</f>
        <v>2025</v>
      </c>
      <c r="D14" s="3" t="str">
        <f>TEXT(Table1_1[[#This Row],[Date]],"mmm")</f>
        <v>May</v>
      </c>
      <c r="E14" s="2" t="s">
        <v>32</v>
      </c>
      <c r="F14" s="2" t="str">
        <f>INDEX(IndiGo_Flight_Data!$R$2:$R$11,MATCH(Table1_1[[#This Row],[Route]],_xlfn.ANCHORARRAY(IndiGo_Flight_Data!$Q$2),0))</f>
        <v>Bengaluru - Cochin</v>
      </c>
      <c r="G14" s="2" t="s">
        <v>24</v>
      </c>
      <c r="H14">
        <v>108</v>
      </c>
      <c r="I14">
        <v>180</v>
      </c>
      <c r="J14">
        <f>Table1_1[[#This Row],[Seat_Capacity]]-Table1_1[[#This Row],[Passengers]]</f>
        <v>72</v>
      </c>
      <c r="K14">
        <v>60</v>
      </c>
      <c r="L14" t="str" cm="1">
        <f t="array" ref="L14">_xlfn.IFS(Table1_1[[#This Row],[Load_Factor_%]]&lt;60,"Low",Table1_1[[#This Row],[Load_Factor_%]]&lt;85,"Intermediate",Table1_1[[#This Row],[Load_Factor_%]]&gt;=85,"High")</f>
        <v>Intermediate</v>
      </c>
      <c r="M14" s="4">
        <v>680336</v>
      </c>
      <c r="N14" s="4">
        <v>128190</v>
      </c>
      <c r="O14" s="4">
        <f>SUM(Table1_1[[#This Row],[Ticket_Revenue_INR]:[Cargo_Revenue_INR]])</f>
        <v>808526</v>
      </c>
      <c r="P14" s="4">
        <v>488979</v>
      </c>
      <c r="Q14" s="4">
        <v>957702</v>
      </c>
      <c r="R14" s="4">
        <f>SUM(Table1_1[[#This Row],[Fuel_Cost_INR]:[Operating_Cost_INR]])</f>
        <v>1446681</v>
      </c>
      <c r="S14" s="4">
        <f>Table1_1[[#This Row],[Total_Revenue]]-Table1_1[[#This Row],[Total_Cost]]</f>
        <v>-638155</v>
      </c>
      <c r="T14" s="9">
        <f>(Table1_1[[#This Row],[Total_Profit]]/Table1_1[[#This Row],[Total_Revenue]])</f>
        <v>-0.78928197732664129</v>
      </c>
      <c r="U14" s="5">
        <v>8</v>
      </c>
      <c r="V14" s="6" t="s">
        <v>33</v>
      </c>
      <c r="W14" s="8">
        <v>4</v>
      </c>
      <c r="X14" t="str" cm="1">
        <f t="array" ref="X14">_xlfn.IFS(Table1_1[[#This Row],[Customer_Rating]]&lt;3,"Poor",Table1_1[[#This Row],[Customer_Rating]]&lt;4,"Good",Table1_1[[#This Row],[Customer_Rating]]&gt;=4,"Excellent")</f>
        <v>Excellent</v>
      </c>
    </row>
    <row r="15" spans="1:24" x14ac:dyDescent="0.35">
      <c r="A15" s="2" t="s">
        <v>51</v>
      </c>
      <c r="B15" s="3">
        <v>45842</v>
      </c>
      <c r="C15" s="3" t="str">
        <f>TEXT(Table1_1[[#This Row],[Date]],"YYYY")</f>
        <v>2025</v>
      </c>
      <c r="D15" s="3" t="str">
        <f>TEXT(Table1_1[[#This Row],[Date]],"mmm")</f>
        <v>Jul</v>
      </c>
      <c r="E15" s="2" t="s">
        <v>21</v>
      </c>
      <c r="F15" s="2" t="str">
        <f>INDEX(IndiGo_Flight_Data!$R$2:$R$11,MATCH(Table1_1[[#This Row],[Route]],_xlfn.ANCHORARRAY(IndiGo_Flight_Data!$Q$2),0))</f>
        <v>Bengaluru - Hyderabad</v>
      </c>
      <c r="G15" s="2" t="s">
        <v>17</v>
      </c>
      <c r="H15">
        <v>62</v>
      </c>
      <c r="I15">
        <v>78</v>
      </c>
      <c r="J15">
        <f>Table1_1[[#This Row],[Seat_Capacity]]-Table1_1[[#This Row],[Passengers]]</f>
        <v>16</v>
      </c>
      <c r="K15">
        <v>79.489999999999995</v>
      </c>
      <c r="L15" t="str" cm="1">
        <f t="array" ref="L15">_xlfn.IFS(Table1_1[[#This Row],[Load_Factor_%]]&lt;60,"Low",Table1_1[[#This Row],[Load_Factor_%]]&lt;85,"Intermediate",Table1_1[[#This Row],[Load_Factor_%]]&gt;=85,"High")</f>
        <v>Intermediate</v>
      </c>
      <c r="M15" s="4">
        <v>252119</v>
      </c>
      <c r="N15" s="4">
        <v>57564</v>
      </c>
      <c r="O15" s="4">
        <f>SUM(Table1_1[[#This Row],[Ticket_Revenue_INR]:[Cargo_Revenue_INR]])</f>
        <v>309683</v>
      </c>
      <c r="P15" s="4">
        <v>976509</v>
      </c>
      <c r="Q15" s="4">
        <v>1250413</v>
      </c>
      <c r="R15" s="4">
        <f>SUM(Table1_1[[#This Row],[Fuel_Cost_INR]:[Operating_Cost_INR]])</f>
        <v>2226922</v>
      </c>
      <c r="S15" s="4">
        <f>Table1_1[[#This Row],[Total_Revenue]]-Table1_1[[#This Row],[Total_Cost]]</f>
        <v>-1917239</v>
      </c>
      <c r="T15" s="9">
        <f>(Table1_1[[#This Row],[Total_Profit]]/Table1_1[[#This Row],[Total_Revenue]])</f>
        <v>-6.1909727043460574</v>
      </c>
      <c r="U15" s="5">
        <v>60</v>
      </c>
      <c r="V15" s="6" t="s">
        <v>18</v>
      </c>
      <c r="W15" s="8">
        <v>3.2</v>
      </c>
      <c r="X15" t="str" cm="1">
        <f t="array" ref="X15">_xlfn.IFS(Table1_1[[#This Row],[Customer_Rating]]&lt;3,"Poor",Table1_1[[#This Row],[Customer_Rating]]&lt;4,"Good",Table1_1[[#This Row],[Customer_Rating]]&gt;=4,"Excellent")</f>
        <v>Good</v>
      </c>
    </row>
    <row r="16" spans="1:24" x14ac:dyDescent="0.35">
      <c r="A16" s="2" t="s">
        <v>53</v>
      </c>
      <c r="B16" s="3">
        <v>45977</v>
      </c>
      <c r="C16" s="3" t="str">
        <f>TEXT(Table1_1[[#This Row],[Date]],"YYYY")</f>
        <v>2025</v>
      </c>
      <c r="D16" s="3" t="str">
        <f>TEXT(Table1_1[[#This Row],[Date]],"mmm")</f>
        <v>Nov</v>
      </c>
      <c r="E16" s="2" t="s">
        <v>16</v>
      </c>
      <c r="F16" s="2" t="str">
        <f>INDEX(IndiGo_Flight_Data!$R$2:$R$11,MATCH(Table1_1[[#This Row],[Route]],_xlfn.ANCHORARRAY(IndiGo_Flight_Data!$Q$2),0))</f>
        <v>Delhi - Goa</v>
      </c>
      <c r="G16" s="2" t="s">
        <v>17</v>
      </c>
      <c r="H16">
        <v>60</v>
      </c>
      <c r="I16">
        <v>78</v>
      </c>
      <c r="J16">
        <f>Table1_1[[#This Row],[Seat_Capacity]]-Table1_1[[#This Row],[Passengers]]</f>
        <v>18</v>
      </c>
      <c r="K16">
        <v>76.92</v>
      </c>
      <c r="L16" t="str" cm="1">
        <f t="array" ref="L16">_xlfn.IFS(Table1_1[[#This Row],[Load_Factor_%]]&lt;60,"Low",Table1_1[[#This Row],[Load_Factor_%]]&lt;85,"Intermediate",Table1_1[[#This Row],[Load_Factor_%]]&gt;=85,"High")</f>
        <v>Intermediate</v>
      </c>
      <c r="M16" s="4">
        <v>358179</v>
      </c>
      <c r="N16" s="4">
        <v>119557</v>
      </c>
      <c r="O16" s="4">
        <f>SUM(Table1_1[[#This Row],[Ticket_Revenue_INR]:[Cargo_Revenue_INR]])</f>
        <v>477736</v>
      </c>
      <c r="P16" s="4">
        <v>1102755</v>
      </c>
      <c r="Q16" s="4">
        <v>1329274</v>
      </c>
      <c r="R16" s="4">
        <f>SUM(Table1_1[[#This Row],[Fuel_Cost_INR]:[Operating_Cost_INR]])</f>
        <v>2432029</v>
      </c>
      <c r="S16" s="4">
        <f>Table1_1[[#This Row],[Total_Revenue]]-Table1_1[[#This Row],[Total_Cost]]</f>
        <v>-1954293</v>
      </c>
      <c r="T16" s="9">
        <f>(Table1_1[[#This Row],[Total_Profit]]/Table1_1[[#This Row],[Total_Revenue]])</f>
        <v>-4.0907383994507427</v>
      </c>
      <c r="U16" s="5">
        <v>23</v>
      </c>
      <c r="V16" s="6" t="s">
        <v>18</v>
      </c>
      <c r="W16" s="8">
        <v>3.4</v>
      </c>
      <c r="X16" t="str" cm="1">
        <f t="array" ref="X16">_xlfn.IFS(Table1_1[[#This Row],[Customer_Rating]]&lt;3,"Poor",Table1_1[[#This Row],[Customer_Rating]]&lt;4,"Good",Table1_1[[#This Row],[Customer_Rating]]&gt;=4,"Excellent")</f>
        <v>Good</v>
      </c>
    </row>
    <row r="17" spans="1:24" x14ac:dyDescent="0.35">
      <c r="A17" s="2" t="s">
        <v>55</v>
      </c>
      <c r="B17" s="3">
        <v>45965</v>
      </c>
      <c r="C17" s="3" t="str">
        <f>TEXT(Table1_1[[#This Row],[Date]],"YYYY")</f>
        <v>2025</v>
      </c>
      <c r="D17" s="3" t="str">
        <f>TEXT(Table1_1[[#This Row],[Date]],"mmm")</f>
        <v>Nov</v>
      </c>
      <c r="E17" s="2" t="s">
        <v>39</v>
      </c>
      <c r="F17" s="2" t="str">
        <f>INDEX(IndiGo_Flight_Data!$R$2:$R$11,MATCH(Table1_1[[#This Row],[Route]],_xlfn.ANCHORARRAY(IndiGo_Flight_Data!$Q$2),0))</f>
        <v>Bengaluru - Delhi</v>
      </c>
      <c r="G17" s="2" t="s">
        <v>17</v>
      </c>
      <c r="H17">
        <v>46</v>
      </c>
      <c r="I17">
        <v>78</v>
      </c>
      <c r="J17">
        <f>Table1_1[[#This Row],[Seat_Capacity]]-Table1_1[[#This Row],[Passengers]]</f>
        <v>32</v>
      </c>
      <c r="K17">
        <v>58.97</v>
      </c>
      <c r="L17" t="str" cm="1">
        <f t="array" ref="L17">_xlfn.IFS(Table1_1[[#This Row],[Load_Factor_%]]&lt;60,"Low",Table1_1[[#This Row],[Load_Factor_%]]&lt;85,"Intermediate",Table1_1[[#This Row],[Load_Factor_%]]&gt;=85,"High")</f>
        <v>Low</v>
      </c>
      <c r="M17" s="4">
        <v>229070</v>
      </c>
      <c r="N17" s="4">
        <v>98425</v>
      </c>
      <c r="O17" s="4">
        <f>SUM(Table1_1[[#This Row],[Ticket_Revenue_INR]:[Cargo_Revenue_INR]])</f>
        <v>327495</v>
      </c>
      <c r="P17" s="4">
        <v>695113</v>
      </c>
      <c r="Q17" s="4">
        <v>1033032</v>
      </c>
      <c r="R17" s="4">
        <f>SUM(Table1_1[[#This Row],[Fuel_Cost_INR]:[Operating_Cost_INR]])</f>
        <v>1728145</v>
      </c>
      <c r="S17" s="4">
        <f>Table1_1[[#This Row],[Total_Revenue]]-Table1_1[[#This Row],[Total_Cost]]</f>
        <v>-1400650</v>
      </c>
      <c r="T17" s="9">
        <f>(Table1_1[[#This Row],[Total_Profit]]/Table1_1[[#This Row],[Total_Revenue]])</f>
        <v>-4.2768591886899037</v>
      </c>
      <c r="U17" s="5">
        <v>36</v>
      </c>
      <c r="V17" s="6" t="s">
        <v>18</v>
      </c>
      <c r="W17" s="8">
        <v>4.5999999999999996</v>
      </c>
      <c r="X17" t="str" cm="1">
        <f t="array" ref="X17">_xlfn.IFS(Table1_1[[#This Row],[Customer_Rating]]&lt;3,"Poor",Table1_1[[#This Row],[Customer_Rating]]&lt;4,"Good",Table1_1[[#This Row],[Customer_Rating]]&gt;=4,"Excellent")</f>
        <v>Excellent</v>
      </c>
    </row>
    <row r="18" spans="1:24" x14ac:dyDescent="0.35">
      <c r="A18" s="2" t="s">
        <v>57</v>
      </c>
      <c r="B18" s="3">
        <v>45796</v>
      </c>
      <c r="C18" s="3" t="str">
        <f>TEXT(Table1_1[[#This Row],[Date]],"YYYY")</f>
        <v>2025</v>
      </c>
      <c r="D18" s="3" t="str">
        <f>TEXT(Table1_1[[#This Row],[Date]],"mmm")</f>
        <v>May</v>
      </c>
      <c r="E18" s="2" t="s">
        <v>59</v>
      </c>
      <c r="F18" s="2" t="str">
        <f>INDEX(IndiGo_Flight_Data!$R$2:$R$11,MATCH(Table1_1[[#This Row],[Route]],_xlfn.ANCHORARRAY(IndiGo_Flight_Data!$Q$2),0))</f>
        <v>Bengaluru - Bombay</v>
      </c>
      <c r="G18" s="2" t="s">
        <v>43</v>
      </c>
      <c r="H18">
        <v>207</v>
      </c>
      <c r="I18">
        <v>232</v>
      </c>
      <c r="J18">
        <f>Table1_1[[#This Row],[Seat_Capacity]]-Table1_1[[#This Row],[Passengers]]</f>
        <v>25</v>
      </c>
      <c r="K18">
        <v>89.22</v>
      </c>
      <c r="L18" t="str" cm="1">
        <f t="array" ref="L18">_xlfn.IFS(Table1_1[[#This Row],[Load_Factor_%]]&lt;60,"Low",Table1_1[[#This Row],[Load_Factor_%]]&lt;85,"Intermediate",Table1_1[[#This Row],[Load_Factor_%]]&gt;=85,"High")</f>
        <v>High</v>
      </c>
      <c r="M18" s="4">
        <v>1517723</v>
      </c>
      <c r="N18" s="4">
        <v>38841</v>
      </c>
      <c r="O18" s="4">
        <f>SUM(Table1_1[[#This Row],[Ticket_Revenue_INR]:[Cargo_Revenue_INR]])</f>
        <v>1556564</v>
      </c>
      <c r="P18" s="4">
        <v>395556</v>
      </c>
      <c r="Q18" s="4">
        <v>657365</v>
      </c>
      <c r="R18" s="4">
        <f>SUM(Table1_1[[#This Row],[Fuel_Cost_INR]:[Operating_Cost_INR]])</f>
        <v>1052921</v>
      </c>
      <c r="S18" s="4">
        <f>Table1_1[[#This Row],[Total_Revenue]]-Table1_1[[#This Row],[Total_Cost]]</f>
        <v>503643</v>
      </c>
      <c r="T18" s="9">
        <f>(Table1_1[[#This Row],[Total_Profit]]/Table1_1[[#This Row],[Total_Revenue]])</f>
        <v>0.32356074019442826</v>
      </c>
      <c r="U18" s="5">
        <v>6</v>
      </c>
      <c r="V18" s="6" t="s">
        <v>33</v>
      </c>
      <c r="W18" s="8">
        <v>3.5</v>
      </c>
      <c r="X18" t="str" cm="1">
        <f t="array" ref="X18">_xlfn.IFS(Table1_1[[#This Row],[Customer_Rating]]&lt;3,"Poor",Table1_1[[#This Row],[Customer_Rating]]&lt;4,"Good",Table1_1[[#This Row],[Customer_Rating]]&gt;=4,"Excellent")</f>
        <v>Good</v>
      </c>
    </row>
    <row r="19" spans="1:24" x14ac:dyDescent="0.35">
      <c r="A19" s="2" t="s">
        <v>60</v>
      </c>
      <c r="B19" s="3">
        <v>45844</v>
      </c>
      <c r="C19" s="3" t="str">
        <f>TEXT(Table1_1[[#This Row],[Date]],"YYYY")</f>
        <v>2025</v>
      </c>
      <c r="D19" s="3" t="str">
        <f>TEXT(Table1_1[[#This Row],[Date]],"mmm")</f>
        <v>Jul</v>
      </c>
      <c r="E19" s="2" t="s">
        <v>39</v>
      </c>
      <c r="F19" s="2" t="str">
        <f>INDEX(IndiGo_Flight_Data!$R$2:$R$11,MATCH(Table1_1[[#This Row],[Route]],_xlfn.ANCHORARRAY(IndiGo_Flight_Data!$Q$2),0))</f>
        <v>Bengaluru - Delhi</v>
      </c>
      <c r="G19" s="2" t="s">
        <v>43</v>
      </c>
      <c r="H19">
        <v>220</v>
      </c>
      <c r="I19">
        <v>232</v>
      </c>
      <c r="J19">
        <f>Table1_1[[#This Row],[Seat_Capacity]]-Table1_1[[#This Row],[Passengers]]</f>
        <v>12</v>
      </c>
      <c r="K19">
        <v>94.83</v>
      </c>
      <c r="L19" t="str" cm="1">
        <f t="array" ref="L19">_xlfn.IFS(Table1_1[[#This Row],[Load_Factor_%]]&lt;60,"Low",Table1_1[[#This Row],[Load_Factor_%]]&lt;85,"Intermediate",Table1_1[[#This Row],[Load_Factor_%]]&gt;=85,"High")</f>
        <v>High</v>
      </c>
      <c r="M19" s="4">
        <v>1022492</v>
      </c>
      <c r="N19" s="4">
        <v>128868</v>
      </c>
      <c r="O19" s="4">
        <f>SUM(Table1_1[[#This Row],[Ticket_Revenue_INR]:[Cargo_Revenue_INR]])</f>
        <v>1151360</v>
      </c>
      <c r="P19" s="4">
        <v>1199424</v>
      </c>
      <c r="Q19" s="4">
        <v>1611052</v>
      </c>
      <c r="R19" s="4">
        <f>SUM(Table1_1[[#This Row],[Fuel_Cost_INR]:[Operating_Cost_INR]])</f>
        <v>2810476</v>
      </c>
      <c r="S19" s="4">
        <f>Table1_1[[#This Row],[Total_Revenue]]-Table1_1[[#This Row],[Total_Cost]]</f>
        <v>-1659116</v>
      </c>
      <c r="T19" s="9">
        <f>(Table1_1[[#This Row],[Total_Profit]]/Table1_1[[#This Row],[Total_Revenue]])</f>
        <v>-1.4410054196775988</v>
      </c>
      <c r="U19" s="5">
        <v>12</v>
      </c>
      <c r="V19" s="6" t="s">
        <v>33</v>
      </c>
      <c r="W19" s="8">
        <v>4.5</v>
      </c>
      <c r="X19" t="str" cm="1">
        <f t="array" ref="X19">_xlfn.IFS(Table1_1[[#This Row],[Customer_Rating]]&lt;3,"Poor",Table1_1[[#This Row],[Customer_Rating]]&lt;4,"Good",Table1_1[[#This Row],[Customer_Rating]]&gt;=4,"Excellent")</f>
        <v>Excellent</v>
      </c>
    </row>
    <row r="20" spans="1:24" x14ac:dyDescent="0.35">
      <c r="A20" s="2" t="s">
        <v>62</v>
      </c>
      <c r="B20" s="3">
        <v>45913</v>
      </c>
      <c r="C20" s="3" t="str">
        <f>TEXT(Table1_1[[#This Row],[Date]],"YYYY")</f>
        <v>2025</v>
      </c>
      <c r="D20" s="3" t="str">
        <f>TEXT(Table1_1[[#This Row],[Date]],"mmm")</f>
        <v>Sep</v>
      </c>
      <c r="E20" s="2" t="s">
        <v>59</v>
      </c>
      <c r="F20" s="2" t="str">
        <f>INDEX(IndiGo_Flight_Data!$R$2:$R$11,MATCH(Table1_1[[#This Row],[Route]],_xlfn.ANCHORARRAY(IndiGo_Flight_Data!$Q$2),0))</f>
        <v>Bengaluru - Bombay</v>
      </c>
      <c r="G20" s="2" t="s">
        <v>43</v>
      </c>
      <c r="H20">
        <v>206</v>
      </c>
      <c r="I20">
        <v>232</v>
      </c>
      <c r="J20">
        <f>Table1_1[[#This Row],[Seat_Capacity]]-Table1_1[[#This Row],[Passengers]]</f>
        <v>26</v>
      </c>
      <c r="K20">
        <v>88.79</v>
      </c>
      <c r="L20" t="str" cm="1">
        <f t="array" ref="L20">_xlfn.IFS(Table1_1[[#This Row],[Load_Factor_%]]&lt;60,"Low",Table1_1[[#This Row],[Load_Factor_%]]&lt;85,"Intermediate",Table1_1[[#This Row],[Load_Factor_%]]&gt;=85,"High")</f>
        <v>High</v>
      </c>
      <c r="M20" s="4">
        <v>1663426</v>
      </c>
      <c r="N20" s="4">
        <v>92596</v>
      </c>
      <c r="O20" s="4">
        <f>SUM(Table1_1[[#This Row],[Ticket_Revenue_INR]:[Cargo_Revenue_INR]])</f>
        <v>1756022</v>
      </c>
      <c r="P20" s="4">
        <v>699917</v>
      </c>
      <c r="Q20" s="4">
        <v>1314679</v>
      </c>
      <c r="R20" s="4">
        <f>SUM(Table1_1[[#This Row],[Fuel_Cost_INR]:[Operating_Cost_INR]])</f>
        <v>2014596</v>
      </c>
      <c r="S20" s="4">
        <f>Table1_1[[#This Row],[Total_Revenue]]-Table1_1[[#This Row],[Total_Cost]]</f>
        <v>-258574</v>
      </c>
      <c r="T20" s="9">
        <f>(Table1_1[[#This Row],[Total_Profit]]/Table1_1[[#This Row],[Total_Revenue]])</f>
        <v>-0.14724986361218709</v>
      </c>
      <c r="U20" s="5">
        <v>27</v>
      </c>
      <c r="V20" s="6" t="s">
        <v>18</v>
      </c>
      <c r="W20" s="8">
        <v>4.4000000000000004</v>
      </c>
      <c r="X20" t="str" cm="1">
        <f t="array" ref="X20">_xlfn.IFS(Table1_1[[#This Row],[Customer_Rating]]&lt;3,"Poor",Table1_1[[#This Row],[Customer_Rating]]&lt;4,"Good",Table1_1[[#This Row],[Customer_Rating]]&gt;=4,"Excellent")</f>
        <v>Excellent</v>
      </c>
    </row>
    <row r="21" spans="1:24" x14ac:dyDescent="0.35">
      <c r="A21" s="2" t="s">
        <v>64</v>
      </c>
      <c r="B21" s="3">
        <v>45893</v>
      </c>
      <c r="C21" s="3" t="str">
        <f>TEXT(Table1_1[[#This Row],[Date]],"YYYY")</f>
        <v>2025</v>
      </c>
      <c r="D21" s="3" t="str">
        <f>TEXT(Table1_1[[#This Row],[Date]],"mmm")</f>
        <v>Aug</v>
      </c>
      <c r="E21" s="2" t="s">
        <v>21</v>
      </c>
      <c r="F21" s="2" t="str">
        <f>INDEX(IndiGo_Flight_Data!$R$2:$R$11,MATCH(Table1_1[[#This Row],[Route]],_xlfn.ANCHORARRAY(IndiGo_Flight_Data!$Q$2),0))</f>
        <v>Bengaluru - Hyderabad</v>
      </c>
      <c r="G21" s="2" t="s">
        <v>43</v>
      </c>
      <c r="H21">
        <v>167</v>
      </c>
      <c r="I21">
        <v>232</v>
      </c>
      <c r="J21">
        <f>Table1_1[[#This Row],[Seat_Capacity]]-Table1_1[[#This Row],[Passengers]]</f>
        <v>65</v>
      </c>
      <c r="K21">
        <v>71.98</v>
      </c>
      <c r="L21" t="str" cm="1">
        <f t="array" ref="L21">_xlfn.IFS(Table1_1[[#This Row],[Load_Factor_%]]&lt;60,"Low",Table1_1[[#This Row],[Load_Factor_%]]&lt;85,"Intermediate",Table1_1[[#This Row],[Load_Factor_%]]&gt;=85,"High")</f>
        <v>Intermediate</v>
      </c>
      <c r="M21" s="4">
        <v>597979</v>
      </c>
      <c r="N21" s="4">
        <v>108783</v>
      </c>
      <c r="O21" s="4">
        <f>SUM(Table1_1[[#This Row],[Ticket_Revenue_INR]:[Cargo_Revenue_INR]])</f>
        <v>706762</v>
      </c>
      <c r="P21" s="4">
        <v>538692</v>
      </c>
      <c r="Q21" s="4">
        <v>1122269</v>
      </c>
      <c r="R21" s="4">
        <f>SUM(Table1_1[[#This Row],[Fuel_Cost_INR]:[Operating_Cost_INR]])</f>
        <v>1660961</v>
      </c>
      <c r="S21" s="4">
        <f>Table1_1[[#This Row],[Total_Revenue]]-Table1_1[[#This Row],[Total_Cost]]</f>
        <v>-954199</v>
      </c>
      <c r="T21" s="9">
        <f>(Table1_1[[#This Row],[Total_Profit]]/Table1_1[[#This Row],[Total_Revenue]])</f>
        <v>-1.350099467713318</v>
      </c>
      <c r="U21" s="5">
        <v>8</v>
      </c>
      <c r="V21" s="6" t="s">
        <v>33</v>
      </c>
      <c r="W21" s="8">
        <v>4.3</v>
      </c>
      <c r="X21" t="str" cm="1">
        <f t="array" ref="X21">_xlfn.IFS(Table1_1[[#This Row],[Customer_Rating]]&lt;3,"Poor",Table1_1[[#This Row],[Customer_Rating]]&lt;4,"Good",Table1_1[[#This Row],[Customer_Rating]]&gt;=4,"Excellent")</f>
        <v>Excellent</v>
      </c>
    </row>
    <row r="22" spans="1:24" x14ac:dyDescent="0.35">
      <c r="A22" s="2" t="s">
        <v>66</v>
      </c>
      <c r="B22" s="3">
        <v>45920</v>
      </c>
      <c r="C22" s="3" t="str">
        <f>TEXT(Table1_1[[#This Row],[Date]],"YYYY")</f>
        <v>2025</v>
      </c>
      <c r="D22" s="3" t="str">
        <f>TEXT(Table1_1[[#This Row],[Date]],"mmm")</f>
        <v>Sep</v>
      </c>
      <c r="E22" s="2" t="s">
        <v>36</v>
      </c>
      <c r="F22" s="2" t="str">
        <f>INDEX(IndiGo_Flight_Data!$R$2:$R$11,MATCH(Table1_1[[#This Row],[Route]],_xlfn.ANCHORARRAY(IndiGo_Flight_Data!$Q$2),0))</f>
        <v>Delhi - Bombay</v>
      </c>
      <c r="G22" s="2" t="s">
        <v>24</v>
      </c>
      <c r="H22">
        <v>127</v>
      </c>
      <c r="I22">
        <v>180</v>
      </c>
      <c r="J22">
        <f>Table1_1[[#This Row],[Seat_Capacity]]-Table1_1[[#This Row],[Passengers]]</f>
        <v>53</v>
      </c>
      <c r="K22">
        <v>70.56</v>
      </c>
      <c r="L22" t="str" cm="1">
        <f t="array" ref="L22">_xlfn.IFS(Table1_1[[#This Row],[Load_Factor_%]]&lt;60,"Low",Table1_1[[#This Row],[Load_Factor_%]]&lt;85,"Intermediate",Table1_1[[#This Row],[Load_Factor_%]]&gt;=85,"High")</f>
        <v>Intermediate</v>
      </c>
      <c r="M22" s="4">
        <v>847210</v>
      </c>
      <c r="N22" s="4">
        <v>70310</v>
      </c>
      <c r="O22" s="4">
        <f>SUM(Table1_1[[#This Row],[Ticket_Revenue_INR]:[Cargo_Revenue_INR]])</f>
        <v>917520</v>
      </c>
      <c r="P22" s="4">
        <v>889914</v>
      </c>
      <c r="Q22" s="4">
        <v>1148596</v>
      </c>
      <c r="R22" s="4">
        <f>SUM(Table1_1[[#This Row],[Fuel_Cost_INR]:[Operating_Cost_INR]])</f>
        <v>2038510</v>
      </c>
      <c r="S22" s="4">
        <f>Table1_1[[#This Row],[Total_Revenue]]-Table1_1[[#This Row],[Total_Cost]]</f>
        <v>-1120990</v>
      </c>
      <c r="T22" s="9">
        <f>(Table1_1[[#This Row],[Total_Profit]]/Table1_1[[#This Row],[Total_Revenue]])</f>
        <v>-1.2217608335513122</v>
      </c>
      <c r="U22" s="5">
        <v>4</v>
      </c>
      <c r="V22" s="6" t="s">
        <v>33</v>
      </c>
      <c r="W22" s="8">
        <v>4.3</v>
      </c>
      <c r="X22" t="str" cm="1">
        <f t="array" ref="X22">_xlfn.IFS(Table1_1[[#This Row],[Customer_Rating]]&lt;3,"Poor",Table1_1[[#This Row],[Customer_Rating]]&lt;4,"Good",Table1_1[[#This Row],[Customer_Rating]]&gt;=4,"Excellent")</f>
        <v>Excellent</v>
      </c>
    </row>
    <row r="23" spans="1:24" x14ac:dyDescent="0.35">
      <c r="A23" s="2" t="s">
        <v>68</v>
      </c>
      <c r="B23" s="3">
        <v>45933</v>
      </c>
      <c r="C23" s="3" t="str">
        <f>TEXT(Table1_1[[#This Row],[Date]],"YYYY")</f>
        <v>2025</v>
      </c>
      <c r="D23" s="3" t="str">
        <f>TEXT(Table1_1[[#This Row],[Date]],"mmm")</f>
        <v>Oct</v>
      </c>
      <c r="E23" s="2" t="s">
        <v>42</v>
      </c>
      <c r="F23" s="2" t="str">
        <f>INDEX(IndiGo_Flight_Data!$R$2:$R$11,MATCH(Table1_1[[#This Row],[Route]],_xlfn.ANCHORARRAY(IndiGo_Flight_Data!$Q$2),0))</f>
        <v>Bombay - Hyderabad</v>
      </c>
      <c r="G23" s="2" t="s">
        <v>24</v>
      </c>
      <c r="H23">
        <v>146</v>
      </c>
      <c r="I23">
        <v>180</v>
      </c>
      <c r="J23">
        <f>Table1_1[[#This Row],[Seat_Capacity]]-Table1_1[[#This Row],[Passengers]]</f>
        <v>34</v>
      </c>
      <c r="K23">
        <v>81.11</v>
      </c>
      <c r="L23" t="str" cm="1">
        <f t="array" ref="L23">_xlfn.IFS(Table1_1[[#This Row],[Load_Factor_%]]&lt;60,"Low",Table1_1[[#This Row],[Load_Factor_%]]&lt;85,"Intermediate",Table1_1[[#This Row],[Load_Factor_%]]&gt;=85,"High")</f>
        <v>Intermediate</v>
      </c>
      <c r="M23" s="4">
        <v>989633</v>
      </c>
      <c r="N23" s="4">
        <v>97579</v>
      </c>
      <c r="O23" s="4">
        <f>SUM(Table1_1[[#This Row],[Ticket_Revenue_INR]:[Cargo_Revenue_INR]])</f>
        <v>1087212</v>
      </c>
      <c r="P23" s="4">
        <v>381248</v>
      </c>
      <c r="Q23" s="4">
        <v>595995</v>
      </c>
      <c r="R23" s="4">
        <f>SUM(Table1_1[[#This Row],[Fuel_Cost_INR]:[Operating_Cost_INR]])</f>
        <v>977243</v>
      </c>
      <c r="S23" s="4">
        <f>Table1_1[[#This Row],[Total_Revenue]]-Table1_1[[#This Row],[Total_Cost]]</f>
        <v>109969</v>
      </c>
      <c r="T23" s="9">
        <f>(Table1_1[[#This Row],[Total_Profit]]/Table1_1[[#This Row],[Total_Revenue]])</f>
        <v>0.10114770624312462</v>
      </c>
      <c r="U23" s="5">
        <v>66</v>
      </c>
      <c r="V23" s="6" t="s">
        <v>18</v>
      </c>
      <c r="W23" s="8">
        <v>4.5</v>
      </c>
      <c r="X23" t="str" cm="1">
        <f t="array" ref="X23">_xlfn.IFS(Table1_1[[#This Row],[Customer_Rating]]&lt;3,"Poor",Table1_1[[#This Row],[Customer_Rating]]&lt;4,"Good",Table1_1[[#This Row],[Customer_Rating]]&gt;=4,"Excellent")</f>
        <v>Excellent</v>
      </c>
    </row>
    <row r="24" spans="1:24" x14ac:dyDescent="0.35">
      <c r="A24" s="2" t="s">
        <v>70</v>
      </c>
      <c r="B24" s="3">
        <v>45830</v>
      </c>
      <c r="C24" s="3" t="str">
        <f>TEXT(Table1_1[[#This Row],[Date]],"YYYY")</f>
        <v>2025</v>
      </c>
      <c r="D24" s="3" t="str">
        <f>TEXT(Table1_1[[#This Row],[Date]],"mmm")</f>
        <v>Jun</v>
      </c>
      <c r="E24" s="2" t="s">
        <v>59</v>
      </c>
      <c r="F24" s="2" t="str">
        <f>INDEX(IndiGo_Flight_Data!$R$2:$R$11,MATCH(Table1_1[[#This Row],[Route]],_xlfn.ANCHORARRAY(IndiGo_Flight_Data!$Q$2),0))</f>
        <v>Bengaluru - Bombay</v>
      </c>
      <c r="G24" s="2" t="s">
        <v>24</v>
      </c>
      <c r="H24">
        <v>148</v>
      </c>
      <c r="I24">
        <v>180</v>
      </c>
      <c r="J24">
        <f>Table1_1[[#This Row],[Seat_Capacity]]-Table1_1[[#This Row],[Passengers]]</f>
        <v>32</v>
      </c>
      <c r="K24">
        <v>82.22</v>
      </c>
      <c r="L24" t="str" cm="1">
        <f t="array" ref="L24">_xlfn.IFS(Table1_1[[#This Row],[Load_Factor_%]]&lt;60,"Low",Table1_1[[#This Row],[Load_Factor_%]]&lt;85,"Intermediate",Table1_1[[#This Row],[Load_Factor_%]]&gt;=85,"High")</f>
        <v>Intermediate</v>
      </c>
      <c r="M24" s="4">
        <v>1010900</v>
      </c>
      <c r="N24" s="4">
        <v>86393</v>
      </c>
      <c r="O24" s="4">
        <f>SUM(Table1_1[[#This Row],[Ticket_Revenue_INR]:[Cargo_Revenue_INR]])</f>
        <v>1097293</v>
      </c>
      <c r="P24" s="4">
        <v>486815</v>
      </c>
      <c r="Q24" s="4">
        <v>602843</v>
      </c>
      <c r="R24" s="4">
        <f>SUM(Table1_1[[#This Row],[Fuel_Cost_INR]:[Operating_Cost_INR]])</f>
        <v>1089658</v>
      </c>
      <c r="S24" s="4">
        <f>Table1_1[[#This Row],[Total_Revenue]]-Table1_1[[#This Row],[Total_Cost]]</f>
        <v>7635</v>
      </c>
      <c r="T24" s="9">
        <f>(Table1_1[[#This Row],[Total_Profit]]/Table1_1[[#This Row],[Total_Revenue]])</f>
        <v>6.9580321755447266E-3</v>
      </c>
      <c r="U24" s="5">
        <v>81</v>
      </c>
      <c r="V24" s="6" t="s">
        <v>18</v>
      </c>
      <c r="W24" s="8">
        <v>3.8</v>
      </c>
      <c r="X24" t="str" cm="1">
        <f t="array" ref="X24">_xlfn.IFS(Table1_1[[#This Row],[Customer_Rating]]&lt;3,"Poor",Table1_1[[#This Row],[Customer_Rating]]&lt;4,"Good",Table1_1[[#This Row],[Customer_Rating]]&gt;=4,"Excellent")</f>
        <v>Good</v>
      </c>
    </row>
    <row r="25" spans="1:24" x14ac:dyDescent="0.35">
      <c r="A25" s="2" t="s">
        <v>72</v>
      </c>
      <c r="B25" s="3">
        <v>45812</v>
      </c>
      <c r="C25" s="3" t="str">
        <f>TEXT(Table1_1[[#This Row],[Date]],"YYYY")</f>
        <v>2025</v>
      </c>
      <c r="D25" s="3" t="str">
        <f>TEXT(Table1_1[[#This Row],[Date]],"mmm")</f>
        <v>Jun</v>
      </c>
      <c r="E25" s="2" t="s">
        <v>29</v>
      </c>
      <c r="F25" s="2" t="str">
        <f>INDEX(IndiGo_Flight_Data!$R$2:$R$11,MATCH(Table1_1[[#This Row],[Route]],_xlfn.ANCHORARRAY(IndiGo_Flight_Data!$Q$2),0))</f>
        <v>Calacatta - Delhi</v>
      </c>
      <c r="G25" s="2" t="s">
        <v>24</v>
      </c>
      <c r="H25">
        <v>173</v>
      </c>
      <c r="I25">
        <v>180</v>
      </c>
      <c r="J25">
        <f>Table1_1[[#This Row],[Seat_Capacity]]-Table1_1[[#This Row],[Passengers]]</f>
        <v>7</v>
      </c>
      <c r="K25">
        <v>96.11</v>
      </c>
      <c r="L25" t="str" cm="1">
        <f t="array" ref="L25">_xlfn.IFS(Table1_1[[#This Row],[Load_Factor_%]]&lt;60,"Low",Table1_1[[#This Row],[Load_Factor_%]]&lt;85,"Intermediate",Table1_1[[#This Row],[Load_Factor_%]]&gt;=85,"High")</f>
        <v>High</v>
      </c>
      <c r="M25" s="4">
        <v>1124354</v>
      </c>
      <c r="N25" s="4">
        <v>77244</v>
      </c>
      <c r="O25" s="4">
        <f>SUM(Table1_1[[#This Row],[Ticket_Revenue_INR]:[Cargo_Revenue_INR]])</f>
        <v>1201598</v>
      </c>
      <c r="P25" s="4">
        <v>1121815</v>
      </c>
      <c r="Q25" s="4">
        <v>1363943</v>
      </c>
      <c r="R25" s="4">
        <f>SUM(Table1_1[[#This Row],[Fuel_Cost_INR]:[Operating_Cost_INR]])</f>
        <v>2485758</v>
      </c>
      <c r="S25" s="4">
        <f>Table1_1[[#This Row],[Total_Revenue]]-Table1_1[[#This Row],[Total_Cost]]</f>
        <v>-1284160</v>
      </c>
      <c r="T25" s="9">
        <f>(Table1_1[[#This Row],[Total_Profit]]/Table1_1[[#This Row],[Total_Revenue]])</f>
        <v>-1.068710167626777</v>
      </c>
      <c r="U25" s="5">
        <v>83</v>
      </c>
      <c r="V25" s="6" t="s">
        <v>18</v>
      </c>
      <c r="W25" s="8">
        <v>3.3</v>
      </c>
      <c r="X25" t="str" cm="1">
        <f t="array" ref="X25">_xlfn.IFS(Table1_1[[#This Row],[Customer_Rating]]&lt;3,"Poor",Table1_1[[#This Row],[Customer_Rating]]&lt;4,"Good",Table1_1[[#This Row],[Customer_Rating]]&gt;=4,"Excellent")</f>
        <v>Good</v>
      </c>
    </row>
    <row r="26" spans="1:24" x14ac:dyDescent="0.35">
      <c r="A26" s="2" t="s">
        <v>74</v>
      </c>
      <c r="B26" s="3">
        <v>45674</v>
      </c>
      <c r="C26" s="3" t="str">
        <f>TEXT(Table1_1[[#This Row],[Date]],"YYYY")</f>
        <v>2025</v>
      </c>
      <c r="D26" s="3" t="str">
        <f>TEXT(Table1_1[[#This Row],[Date]],"mmm")</f>
        <v>Jan</v>
      </c>
      <c r="E26" s="2" t="s">
        <v>76</v>
      </c>
      <c r="F26" s="2" t="str">
        <f>INDEX(IndiGo_Flight_Data!$R$2:$R$11,MATCH(Table1_1[[#This Row],[Route]],_xlfn.ANCHORARRAY(IndiGo_Flight_Data!$Q$2),0))</f>
        <v>Madras - Delhi</v>
      </c>
      <c r="G26" s="2" t="s">
        <v>43</v>
      </c>
      <c r="H26">
        <v>214</v>
      </c>
      <c r="I26">
        <v>232</v>
      </c>
      <c r="J26">
        <f>Table1_1[[#This Row],[Seat_Capacity]]-Table1_1[[#This Row],[Passengers]]</f>
        <v>18</v>
      </c>
      <c r="K26">
        <v>92.24</v>
      </c>
      <c r="L26" t="str" cm="1">
        <f t="array" ref="L26">_xlfn.IFS(Table1_1[[#This Row],[Load_Factor_%]]&lt;60,"Low",Table1_1[[#This Row],[Load_Factor_%]]&lt;85,"Intermediate",Table1_1[[#This Row],[Load_Factor_%]]&gt;=85,"High")</f>
        <v>High</v>
      </c>
      <c r="M26" s="4">
        <v>940084</v>
      </c>
      <c r="N26" s="4">
        <v>148323</v>
      </c>
      <c r="O26" s="4">
        <f>SUM(Table1_1[[#This Row],[Ticket_Revenue_INR]:[Cargo_Revenue_INR]])</f>
        <v>1088407</v>
      </c>
      <c r="P26" s="4">
        <v>294213</v>
      </c>
      <c r="Q26" s="4">
        <v>481247</v>
      </c>
      <c r="R26" s="4">
        <f>SUM(Table1_1[[#This Row],[Fuel_Cost_INR]:[Operating_Cost_INR]])</f>
        <v>775460</v>
      </c>
      <c r="S26" s="4">
        <f>Table1_1[[#This Row],[Total_Revenue]]-Table1_1[[#This Row],[Total_Cost]]</f>
        <v>312947</v>
      </c>
      <c r="T26" s="9">
        <f>(Table1_1[[#This Row],[Total_Profit]]/Table1_1[[#This Row],[Total_Revenue]])</f>
        <v>0.28752755173386424</v>
      </c>
      <c r="U26" s="5">
        <v>51</v>
      </c>
      <c r="V26" s="6" t="s">
        <v>18</v>
      </c>
      <c r="W26" s="8">
        <v>4</v>
      </c>
      <c r="X26" t="str" cm="1">
        <f t="array" ref="X26">_xlfn.IFS(Table1_1[[#This Row],[Customer_Rating]]&lt;3,"Poor",Table1_1[[#This Row],[Customer_Rating]]&lt;4,"Good",Table1_1[[#This Row],[Customer_Rating]]&gt;=4,"Excellent")</f>
        <v>Excellent</v>
      </c>
    </row>
    <row r="27" spans="1:24" x14ac:dyDescent="0.35">
      <c r="A27" s="2" t="s">
        <v>77</v>
      </c>
      <c r="B27" s="3">
        <v>46014</v>
      </c>
      <c r="C27" s="3" t="str">
        <f>TEXT(Table1_1[[#This Row],[Date]],"YYYY")</f>
        <v>2025</v>
      </c>
      <c r="D27" s="3" t="str">
        <f>TEXT(Table1_1[[#This Row],[Date]],"mmm")</f>
        <v>Dec</v>
      </c>
      <c r="E27" s="2" t="s">
        <v>42</v>
      </c>
      <c r="F27" s="2" t="str">
        <f>INDEX(IndiGo_Flight_Data!$R$2:$R$11,MATCH(Table1_1[[#This Row],[Route]],_xlfn.ANCHORARRAY(IndiGo_Flight_Data!$Q$2),0))</f>
        <v>Bombay - Hyderabad</v>
      </c>
      <c r="G27" s="2" t="s">
        <v>43</v>
      </c>
      <c r="H27">
        <v>197</v>
      </c>
      <c r="I27">
        <v>232</v>
      </c>
      <c r="J27">
        <f>Table1_1[[#This Row],[Seat_Capacity]]-Table1_1[[#This Row],[Passengers]]</f>
        <v>35</v>
      </c>
      <c r="K27">
        <v>84.91</v>
      </c>
      <c r="L27" t="str" cm="1">
        <f t="array" ref="L27">_xlfn.IFS(Table1_1[[#This Row],[Load_Factor_%]]&lt;60,"Low",Table1_1[[#This Row],[Load_Factor_%]]&lt;85,"Intermediate",Table1_1[[#This Row],[Load_Factor_%]]&gt;=85,"High")</f>
        <v>Intermediate</v>
      </c>
      <c r="M27" s="4">
        <v>1425114</v>
      </c>
      <c r="N27" s="4">
        <v>88822</v>
      </c>
      <c r="O27" s="4">
        <f>SUM(Table1_1[[#This Row],[Ticket_Revenue_INR]:[Cargo_Revenue_INR]])</f>
        <v>1513936</v>
      </c>
      <c r="P27" s="4">
        <v>822844</v>
      </c>
      <c r="Q27" s="4">
        <v>1174756</v>
      </c>
      <c r="R27" s="4">
        <f>SUM(Table1_1[[#This Row],[Fuel_Cost_INR]:[Operating_Cost_INR]])</f>
        <v>1997600</v>
      </c>
      <c r="S27" s="4">
        <f>Table1_1[[#This Row],[Total_Revenue]]-Table1_1[[#This Row],[Total_Cost]]</f>
        <v>-483664</v>
      </c>
      <c r="T27" s="9">
        <f>(Table1_1[[#This Row],[Total_Profit]]/Table1_1[[#This Row],[Total_Revenue]])</f>
        <v>-0.31947453525115987</v>
      </c>
      <c r="U27" s="5">
        <v>40</v>
      </c>
      <c r="V27" s="6" t="s">
        <v>18</v>
      </c>
      <c r="W27" s="8">
        <v>3.5</v>
      </c>
      <c r="X27" t="str" cm="1">
        <f t="array" ref="X27">_xlfn.IFS(Table1_1[[#This Row],[Customer_Rating]]&lt;3,"Poor",Table1_1[[#This Row],[Customer_Rating]]&lt;4,"Good",Table1_1[[#This Row],[Customer_Rating]]&gt;=4,"Excellent")</f>
        <v>Good</v>
      </c>
    </row>
    <row r="28" spans="1:24" x14ac:dyDescent="0.35">
      <c r="A28" s="2" t="s">
        <v>79</v>
      </c>
      <c r="B28" s="3">
        <v>45931</v>
      </c>
      <c r="C28" s="3" t="str">
        <f>TEXT(Table1_1[[#This Row],[Date]],"YYYY")</f>
        <v>2025</v>
      </c>
      <c r="D28" s="3" t="str">
        <f>TEXT(Table1_1[[#This Row],[Date]],"mmm")</f>
        <v>Oct</v>
      </c>
      <c r="E28" s="2" t="s">
        <v>76</v>
      </c>
      <c r="F28" s="2" t="str">
        <f>INDEX(IndiGo_Flight_Data!$R$2:$R$11,MATCH(Table1_1[[#This Row],[Route]],_xlfn.ANCHORARRAY(IndiGo_Flight_Data!$Q$2),0))</f>
        <v>Madras - Delhi</v>
      </c>
      <c r="G28" s="2" t="s">
        <v>24</v>
      </c>
      <c r="H28">
        <v>115</v>
      </c>
      <c r="I28">
        <v>180</v>
      </c>
      <c r="J28">
        <f>Table1_1[[#This Row],[Seat_Capacity]]-Table1_1[[#This Row],[Passengers]]</f>
        <v>65</v>
      </c>
      <c r="K28">
        <v>63.89</v>
      </c>
      <c r="L28" t="str" cm="1">
        <f t="array" ref="L28">_xlfn.IFS(Table1_1[[#This Row],[Load_Factor_%]]&lt;60,"Low",Table1_1[[#This Row],[Load_Factor_%]]&lt;85,"Intermediate",Table1_1[[#This Row],[Load_Factor_%]]&gt;=85,"High")</f>
        <v>Intermediate</v>
      </c>
      <c r="M28" s="4">
        <v>462419</v>
      </c>
      <c r="N28" s="4">
        <v>55545</v>
      </c>
      <c r="O28" s="4">
        <f>SUM(Table1_1[[#This Row],[Ticket_Revenue_INR]:[Cargo_Revenue_INR]])</f>
        <v>517964</v>
      </c>
      <c r="P28" s="4">
        <v>305586</v>
      </c>
      <c r="Q28" s="4">
        <v>826616</v>
      </c>
      <c r="R28" s="4">
        <f>SUM(Table1_1[[#This Row],[Fuel_Cost_INR]:[Operating_Cost_INR]])</f>
        <v>1132202</v>
      </c>
      <c r="S28" s="4">
        <f>Table1_1[[#This Row],[Total_Revenue]]-Table1_1[[#This Row],[Total_Cost]]</f>
        <v>-614238</v>
      </c>
      <c r="T28" s="9">
        <f>(Table1_1[[#This Row],[Total_Profit]]/Table1_1[[#This Row],[Total_Revenue]])</f>
        <v>-1.1858700604675227</v>
      </c>
      <c r="U28" s="5">
        <v>36</v>
      </c>
      <c r="V28" s="6" t="s">
        <v>18</v>
      </c>
      <c r="W28" s="8">
        <v>3.4</v>
      </c>
      <c r="X28" t="str" cm="1">
        <f t="array" ref="X28">_xlfn.IFS(Table1_1[[#This Row],[Customer_Rating]]&lt;3,"Poor",Table1_1[[#This Row],[Customer_Rating]]&lt;4,"Good",Table1_1[[#This Row],[Customer_Rating]]&gt;=4,"Excellent")</f>
        <v>Good</v>
      </c>
    </row>
    <row r="29" spans="1:24" x14ac:dyDescent="0.35">
      <c r="A29" s="2" t="s">
        <v>81</v>
      </c>
      <c r="B29" s="3">
        <v>45983</v>
      </c>
      <c r="C29" s="3" t="str">
        <f>TEXT(Table1_1[[#This Row],[Date]],"YYYY")</f>
        <v>2025</v>
      </c>
      <c r="D29" s="3" t="str">
        <f>TEXT(Table1_1[[#This Row],[Date]],"mmm")</f>
        <v>Nov</v>
      </c>
      <c r="E29" s="2" t="s">
        <v>59</v>
      </c>
      <c r="F29" s="2" t="str">
        <f>INDEX(IndiGo_Flight_Data!$R$2:$R$11,MATCH(Table1_1[[#This Row],[Route]],_xlfn.ANCHORARRAY(IndiGo_Flight_Data!$Q$2),0))</f>
        <v>Bengaluru - Bombay</v>
      </c>
      <c r="G29" s="2" t="s">
        <v>24</v>
      </c>
      <c r="H29">
        <v>110</v>
      </c>
      <c r="I29">
        <v>180</v>
      </c>
      <c r="J29">
        <f>Table1_1[[#This Row],[Seat_Capacity]]-Table1_1[[#This Row],[Passengers]]</f>
        <v>70</v>
      </c>
      <c r="K29">
        <v>61.11</v>
      </c>
      <c r="L29" t="str" cm="1">
        <f t="array" ref="L29">_xlfn.IFS(Table1_1[[#This Row],[Load_Factor_%]]&lt;60,"Low",Table1_1[[#This Row],[Load_Factor_%]]&lt;85,"Intermediate",Table1_1[[#This Row],[Load_Factor_%]]&gt;=85,"High")</f>
        <v>Intermediate</v>
      </c>
      <c r="M29" s="4">
        <v>544600</v>
      </c>
      <c r="N29" s="4">
        <v>102380</v>
      </c>
      <c r="O29" s="4">
        <f>SUM(Table1_1[[#This Row],[Ticket_Revenue_INR]:[Cargo_Revenue_INR]])</f>
        <v>646980</v>
      </c>
      <c r="P29" s="4">
        <v>1051917</v>
      </c>
      <c r="Q29" s="4">
        <v>1334628</v>
      </c>
      <c r="R29" s="4">
        <f>SUM(Table1_1[[#This Row],[Fuel_Cost_INR]:[Operating_Cost_INR]])</f>
        <v>2386545</v>
      </c>
      <c r="S29" s="4">
        <f>Table1_1[[#This Row],[Total_Revenue]]-Table1_1[[#This Row],[Total_Cost]]</f>
        <v>-1739565</v>
      </c>
      <c r="T29" s="9">
        <f>(Table1_1[[#This Row],[Total_Profit]]/Table1_1[[#This Row],[Total_Revenue]])</f>
        <v>-2.6887461745339887</v>
      </c>
      <c r="U29" s="5">
        <v>67</v>
      </c>
      <c r="V29" s="6" t="s">
        <v>18</v>
      </c>
      <c r="W29" s="8">
        <v>4.3</v>
      </c>
      <c r="X29" t="str" cm="1">
        <f t="array" ref="X29">_xlfn.IFS(Table1_1[[#This Row],[Customer_Rating]]&lt;3,"Poor",Table1_1[[#This Row],[Customer_Rating]]&lt;4,"Good",Table1_1[[#This Row],[Customer_Rating]]&gt;=4,"Excellent")</f>
        <v>Excellent</v>
      </c>
    </row>
    <row r="30" spans="1:24" x14ac:dyDescent="0.35">
      <c r="A30" s="2" t="s">
        <v>83</v>
      </c>
      <c r="B30" s="3">
        <v>45868</v>
      </c>
      <c r="C30" s="3" t="str">
        <f>TEXT(Table1_1[[#This Row],[Date]],"YYYY")</f>
        <v>2025</v>
      </c>
      <c r="D30" s="3" t="str">
        <f>TEXT(Table1_1[[#This Row],[Date]],"mmm")</f>
        <v>Jul</v>
      </c>
      <c r="E30" s="2" t="s">
        <v>16</v>
      </c>
      <c r="F30" s="2" t="str">
        <f>INDEX(IndiGo_Flight_Data!$R$2:$R$11,MATCH(Table1_1[[#This Row],[Route]],_xlfn.ANCHORARRAY(IndiGo_Flight_Data!$Q$2),0))</f>
        <v>Delhi - Goa</v>
      </c>
      <c r="G30" s="2" t="s">
        <v>24</v>
      </c>
      <c r="H30">
        <v>126</v>
      </c>
      <c r="I30">
        <v>180</v>
      </c>
      <c r="J30">
        <f>Table1_1[[#This Row],[Seat_Capacity]]-Table1_1[[#This Row],[Passengers]]</f>
        <v>54</v>
      </c>
      <c r="K30">
        <v>70</v>
      </c>
      <c r="L30" t="str" cm="1">
        <f t="array" ref="L30">_xlfn.IFS(Table1_1[[#This Row],[Load_Factor_%]]&lt;60,"Low",Table1_1[[#This Row],[Load_Factor_%]]&lt;85,"Intermediate",Table1_1[[#This Row],[Load_Factor_%]]&gt;=85,"High")</f>
        <v>Intermediate</v>
      </c>
      <c r="M30" s="4">
        <v>949025</v>
      </c>
      <c r="N30" s="4">
        <v>99945</v>
      </c>
      <c r="O30" s="4">
        <f>SUM(Table1_1[[#This Row],[Ticket_Revenue_INR]:[Cargo_Revenue_INR]])</f>
        <v>1048970</v>
      </c>
      <c r="P30" s="4">
        <v>1184283</v>
      </c>
      <c r="Q30" s="4">
        <v>1509894</v>
      </c>
      <c r="R30" s="4">
        <f>SUM(Table1_1[[#This Row],[Fuel_Cost_INR]:[Operating_Cost_INR]])</f>
        <v>2694177</v>
      </c>
      <c r="S30" s="4">
        <f>Table1_1[[#This Row],[Total_Revenue]]-Table1_1[[#This Row],[Total_Cost]]</f>
        <v>-1645207</v>
      </c>
      <c r="T30" s="9">
        <f>(Table1_1[[#This Row],[Total_Profit]]/Table1_1[[#This Row],[Total_Revenue]])</f>
        <v>-1.568402337531102</v>
      </c>
      <c r="U30" s="5">
        <v>88</v>
      </c>
      <c r="V30" s="6" t="s">
        <v>18</v>
      </c>
      <c r="W30" s="8">
        <v>3.5</v>
      </c>
      <c r="X30" t="str" cm="1">
        <f t="array" ref="X30">_xlfn.IFS(Table1_1[[#This Row],[Customer_Rating]]&lt;3,"Poor",Table1_1[[#This Row],[Customer_Rating]]&lt;4,"Good",Table1_1[[#This Row],[Customer_Rating]]&gt;=4,"Excellent")</f>
        <v>Good</v>
      </c>
    </row>
    <row r="31" spans="1:24" x14ac:dyDescent="0.35">
      <c r="A31" s="2" t="s">
        <v>85</v>
      </c>
      <c r="B31" s="3">
        <v>45871</v>
      </c>
      <c r="C31" s="3" t="str">
        <f>TEXT(Table1_1[[#This Row],[Date]],"YYYY")</f>
        <v>2025</v>
      </c>
      <c r="D31" s="3" t="str">
        <f>TEXT(Table1_1[[#This Row],[Date]],"mmm")</f>
        <v>Aug</v>
      </c>
      <c r="E31" s="2" t="s">
        <v>16</v>
      </c>
      <c r="F31" s="2" t="str">
        <f>INDEX(IndiGo_Flight_Data!$R$2:$R$11,MATCH(Table1_1[[#This Row],[Route]],_xlfn.ANCHORARRAY(IndiGo_Flight_Data!$Q$2),0))</f>
        <v>Delhi - Goa</v>
      </c>
      <c r="G31" s="2" t="s">
        <v>43</v>
      </c>
      <c r="H31">
        <v>176</v>
      </c>
      <c r="I31">
        <v>232</v>
      </c>
      <c r="J31">
        <f>Table1_1[[#This Row],[Seat_Capacity]]-Table1_1[[#This Row],[Passengers]]</f>
        <v>56</v>
      </c>
      <c r="K31">
        <v>75.86</v>
      </c>
      <c r="L31" t="str" cm="1">
        <f t="array" ref="L31">_xlfn.IFS(Table1_1[[#This Row],[Load_Factor_%]]&lt;60,"Low",Table1_1[[#This Row],[Load_Factor_%]]&lt;85,"Intermediate",Table1_1[[#This Row],[Load_Factor_%]]&gt;=85,"High")</f>
        <v>Intermediate</v>
      </c>
      <c r="M31" s="4">
        <v>1248312</v>
      </c>
      <c r="N31" s="4">
        <v>116276</v>
      </c>
      <c r="O31" s="4">
        <f>SUM(Table1_1[[#This Row],[Ticket_Revenue_INR]:[Cargo_Revenue_INR]])</f>
        <v>1364588</v>
      </c>
      <c r="P31" s="4">
        <v>696227</v>
      </c>
      <c r="Q31" s="4">
        <v>1106264</v>
      </c>
      <c r="R31" s="4">
        <f>SUM(Table1_1[[#This Row],[Fuel_Cost_INR]:[Operating_Cost_INR]])</f>
        <v>1802491</v>
      </c>
      <c r="S31" s="4">
        <f>Table1_1[[#This Row],[Total_Revenue]]-Table1_1[[#This Row],[Total_Cost]]</f>
        <v>-437903</v>
      </c>
      <c r="T31" s="9">
        <f>(Table1_1[[#This Row],[Total_Profit]]/Table1_1[[#This Row],[Total_Revenue]])</f>
        <v>-0.32090491782134972</v>
      </c>
      <c r="U31" s="5">
        <v>86</v>
      </c>
      <c r="V31" s="6" t="s">
        <v>18</v>
      </c>
      <c r="W31" s="8">
        <v>4.8</v>
      </c>
      <c r="X31" t="str" cm="1">
        <f t="array" ref="X31">_xlfn.IFS(Table1_1[[#This Row],[Customer_Rating]]&lt;3,"Poor",Table1_1[[#This Row],[Customer_Rating]]&lt;4,"Good",Table1_1[[#This Row],[Customer_Rating]]&gt;=4,"Excellent")</f>
        <v>Excellent</v>
      </c>
    </row>
    <row r="32" spans="1:24" x14ac:dyDescent="0.35">
      <c r="A32" s="2" t="s">
        <v>87</v>
      </c>
      <c r="B32" s="3">
        <v>45882</v>
      </c>
      <c r="C32" s="3" t="str">
        <f>TEXT(Table1_1[[#This Row],[Date]],"YYYY")</f>
        <v>2025</v>
      </c>
      <c r="D32" s="3" t="str">
        <f>TEXT(Table1_1[[#This Row],[Date]],"mmm")</f>
        <v>Aug</v>
      </c>
      <c r="E32" s="2" t="s">
        <v>21</v>
      </c>
      <c r="F32" s="2" t="str">
        <f>INDEX(IndiGo_Flight_Data!$R$2:$R$11,MATCH(Table1_1[[#This Row],[Route]],_xlfn.ANCHORARRAY(IndiGo_Flight_Data!$Q$2),0))</f>
        <v>Bengaluru - Hyderabad</v>
      </c>
      <c r="G32" s="2" t="s">
        <v>17</v>
      </c>
      <c r="H32">
        <v>61</v>
      </c>
      <c r="I32">
        <v>78</v>
      </c>
      <c r="J32">
        <f>Table1_1[[#This Row],[Seat_Capacity]]-Table1_1[[#This Row],[Passengers]]</f>
        <v>17</v>
      </c>
      <c r="K32">
        <v>78.209999999999994</v>
      </c>
      <c r="L32" t="str" cm="1">
        <f t="array" ref="L32">_xlfn.IFS(Table1_1[[#This Row],[Load_Factor_%]]&lt;60,"Low",Table1_1[[#This Row],[Load_Factor_%]]&lt;85,"Intermediate",Table1_1[[#This Row],[Load_Factor_%]]&gt;=85,"High")</f>
        <v>Intermediate</v>
      </c>
      <c r="M32" s="4">
        <v>441494</v>
      </c>
      <c r="N32" s="4">
        <v>63435</v>
      </c>
      <c r="O32" s="4">
        <f>SUM(Table1_1[[#This Row],[Ticket_Revenue_INR]:[Cargo_Revenue_INR]])</f>
        <v>504929</v>
      </c>
      <c r="P32" s="4">
        <v>885409</v>
      </c>
      <c r="Q32" s="4">
        <v>1189735</v>
      </c>
      <c r="R32" s="4">
        <f>SUM(Table1_1[[#This Row],[Fuel_Cost_INR]:[Operating_Cost_INR]])</f>
        <v>2075144</v>
      </c>
      <c r="S32" s="4">
        <f>Table1_1[[#This Row],[Total_Revenue]]-Table1_1[[#This Row],[Total_Cost]]</f>
        <v>-1570215</v>
      </c>
      <c r="T32" s="9">
        <f>(Table1_1[[#This Row],[Total_Profit]]/Table1_1[[#This Row],[Total_Revenue]])</f>
        <v>-3.109773849392687</v>
      </c>
      <c r="U32" s="5">
        <v>68</v>
      </c>
      <c r="V32" s="6" t="s">
        <v>18</v>
      </c>
      <c r="W32" s="8">
        <v>3.8</v>
      </c>
      <c r="X32" t="str" cm="1">
        <f t="array" ref="X32">_xlfn.IFS(Table1_1[[#This Row],[Customer_Rating]]&lt;3,"Poor",Table1_1[[#This Row],[Customer_Rating]]&lt;4,"Good",Table1_1[[#This Row],[Customer_Rating]]&gt;=4,"Excellent")</f>
        <v>Good</v>
      </c>
    </row>
    <row r="33" spans="1:24" x14ac:dyDescent="0.35">
      <c r="A33" s="2" t="s">
        <v>89</v>
      </c>
      <c r="B33" s="3">
        <v>45709</v>
      </c>
      <c r="C33" s="3" t="str">
        <f>TEXT(Table1_1[[#This Row],[Date]],"YYYY")</f>
        <v>2025</v>
      </c>
      <c r="D33" s="3" t="str">
        <f>TEXT(Table1_1[[#This Row],[Date]],"mmm")</f>
        <v>Feb</v>
      </c>
      <c r="E33" s="2" t="s">
        <v>16</v>
      </c>
      <c r="F33" s="2" t="str">
        <f>INDEX(IndiGo_Flight_Data!$R$2:$R$11,MATCH(Table1_1[[#This Row],[Route]],_xlfn.ANCHORARRAY(IndiGo_Flight_Data!$Q$2),0))</f>
        <v>Delhi - Goa</v>
      </c>
      <c r="G33" s="2" t="s">
        <v>17</v>
      </c>
      <c r="H33">
        <v>59</v>
      </c>
      <c r="I33">
        <v>78</v>
      </c>
      <c r="J33">
        <f>Table1_1[[#This Row],[Seat_Capacity]]-Table1_1[[#This Row],[Passengers]]</f>
        <v>19</v>
      </c>
      <c r="K33">
        <v>75.64</v>
      </c>
      <c r="L33" t="str" cm="1">
        <f t="array" ref="L33">_xlfn.IFS(Table1_1[[#This Row],[Load_Factor_%]]&lt;60,"Low",Table1_1[[#This Row],[Load_Factor_%]]&lt;85,"Intermediate",Table1_1[[#This Row],[Load_Factor_%]]&gt;=85,"High")</f>
        <v>Intermediate</v>
      </c>
      <c r="M33" s="4">
        <v>418353</v>
      </c>
      <c r="N33" s="4">
        <v>90115</v>
      </c>
      <c r="O33" s="4">
        <f>SUM(Table1_1[[#This Row],[Ticket_Revenue_INR]:[Cargo_Revenue_INR]])</f>
        <v>508468</v>
      </c>
      <c r="P33" s="4">
        <v>274558</v>
      </c>
      <c r="Q33" s="4">
        <v>452061</v>
      </c>
      <c r="R33" s="4">
        <f>SUM(Table1_1[[#This Row],[Fuel_Cost_INR]:[Operating_Cost_INR]])</f>
        <v>726619</v>
      </c>
      <c r="S33" s="4">
        <f>Table1_1[[#This Row],[Total_Revenue]]-Table1_1[[#This Row],[Total_Cost]]</f>
        <v>-218151</v>
      </c>
      <c r="T33" s="9">
        <f>(Table1_1[[#This Row],[Total_Profit]]/Table1_1[[#This Row],[Total_Revenue]])</f>
        <v>-0.42903584886364532</v>
      </c>
      <c r="U33" s="5">
        <v>80</v>
      </c>
      <c r="V33" s="6" t="s">
        <v>18</v>
      </c>
      <c r="W33" s="8">
        <v>4</v>
      </c>
      <c r="X33" t="str" cm="1">
        <f t="array" ref="X33">_xlfn.IFS(Table1_1[[#This Row],[Customer_Rating]]&lt;3,"Poor",Table1_1[[#This Row],[Customer_Rating]]&lt;4,"Good",Table1_1[[#This Row],[Customer_Rating]]&gt;=4,"Excellent")</f>
        <v>Excellent</v>
      </c>
    </row>
    <row r="34" spans="1:24" x14ac:dyDescent="0.35">
      <c r="A34" s="2" t="s">
        <v>91</v>
      </c>
      <c r="B34" s="3">
        <v>45805</v>
      </c>
      <c r="C34" s="3" t="str">
        <f>TEXT(Table1_1[[#This Row],[Date]],"YYYY")</f>
        <v>2025</v>
      </c>
      <c r="D34" s="3" t="str">
        <f>TEXT(Table1_1[[#This Row],[Date]],"mmm")</f>
        <v>May</v>
      </c>
      <c r="E34" s="2" t="s">
        <v>59</v>
      </c>
      <c r="F34" s="2" t="str">
        <f>INDEX(IndiGo_Flight_Data!$R$2:$R$11,MATCH(Table1_1[[#This Row],[Route]],_xlfn.ANCHORARRAY(IndiGo_Flight_Data!$Q$2),0))</f>
        <v>Bengaluru - Bombay</v>
      </c>
      <c r="G34" s="2" t="s">
        <v>17</v>
      </c>
      <c r="H34">
        <v>72</v>
      </c>
      <c r="I34">
        <v>78</v>
      </c>
      <c r="J34">
        <f>Table1_1[[#This Row],[Seat_Capacity]]-Table1_1[[#This Row],[Passengers]]</f>
        <v>6</v>
      </c>
      <c r="K34">
        <v>92.31</v>
      </c>
      <c r="L34" t="str" cm="1">
        <f t="array" ref="L34">_xlfn.IFS(Table1_1[[#This Row],[Load_Factor_%]]&lt;60,"Low",Table1_1[[#This Row],[Load_Factor_%]]&lt;85,"Intermediate",Table1_1[[#This Row],[Load_Factor_%]]&gt;=85,"High")</f>
        <v>High</v>
      </c>
      <c r="M34" s="4">
        <v>435738</v>
      </c>
      <c r="N34" s="4">
        <v>90453</v>
      </c>
      <c r="O34" s="4">
        <f>SUM(Table1_1[[#This Row],[Ticket_Revenue_INR]:[Cargo_Revenue_INR]])</f>
        <v>526191</v>
      </c>
      <c r="P34" s="4">
        <v>799244</v>
      </c>
      <c r="Q34" s="4">
        <v>1328017</v>
      </c>
      <c r="R34" s="4">
        <f>SUM(Table1_1[[#This Row],[Fuel_Cost_INR]:[Operating_Cost_INR]])</f>
        <v>2127261</v>
      </c>
      <c r="S34" s="4">
        <f>Table1_1[[#This Row],[Total_Revenue]]-Table1_1[[#This Row],[Total_Cost]]</f>
        <v>-1601070</v>
      </c>
      <c r="T34" s="9">
        <f>(Table1_1[[#This Row],[Total_Profit]]/Table1_1[[#This Row],[Total_Revenue]])</f>
        <v>-3.042754437077031</v>
      </c>
      <c r="U34" s="5">
        <v>74</v>
      </c>
      <c r="V34" s="6" t="s">
        <v>18</v>
      </c>
      <c r="W34" s="8">
        <v>3.6</v>
      </c>
      <c r="X34" t="str" cm="1">
        <f t="array" ref="X34">_xlfn.IFS(Table1_1[[#This Row],[Customer_Rating]]&lt;3,"Poor",Table1_1[[#This Row],[Customer_Rating]]&lt;4,"Good",Table1_1[[#This Row],[Customer_Rating]]&gt;=4,"Excellent")</f>
        <v>Good</v>
      </c>
    </row>
    <row r="35" spans="1:24" x14ac:dyDescent="0.35">
      <c r="A35" s="2" t="s">
        <v>93</v>
      </c>
      <c r="B35" s="3">
        <v>46005</v>
      </c>
      <c r="C35" s="3" t="str">
        <f>TEXT(Table1_1[[#This Row],[Date]],"YYYY")</f>
        <v>2025</v>
      </c>
      <c r="D35" s="3" t="str">
        <f>TEXT(Table1_1[[#This Row],[Date]],"mmm")</f>
        <v>Dec</v>
      </c>
      <c r="E35" s="2" t="s">
        <v>42</v>
      </c>
      <c r="F35" s="2" t="str">
        <f>INDEX(IndiGo_Flight_Data!$R$2:$R$11,MATCH(Table1_1[[#This Row],[Route]],_xlfn.ANCHORARRAY(IndiGo_Flight_Data!$Q$2),0))</f>
        <v>Bombay - Hyderabad</v>
      </c>
      <c r="G35" s="2" t="s">
        <v>43</v>
      </c>
      <c r="H35">
        <v>206</v>
      </c>
      <c r="I35">
        <v>232</v>
      </c>
      <c r="J35">
        <f>Table1_1[[#This Row],[Seat_Capacity]]-Table1_1[[#This Row],[Passengers]]</f>
        <v>26</v>
      </c>
      <c r="K35">
        <v>88.79</v>
      </c>
      <c r="L35" t="str" cm="1">
        <f t="array" ref="L35">_xlfn.IFS(Table1_1[[#This Row],[Load_Factor_%]]&lt;60,"Low",Table1_1[[#This Row],[Load_Factor_%]]&lt;85,"Intermediate",Table1_1[[#This Row],[Load_Factor_%]]&gt;=85,"High")</f>
        <v>High</v>
      </c>
      <c r="M35" s="4">
        <v>802233</v>
      </c>
      <c r="N35" s="4">
        <v>144931</v>
      </c>
      <c r="O35" s="4">
        <f>SUM(Table1_1[[#This Row],[Ticket_Revenue_INR]:[Cargo_Revenue_INR]])</f>
        <v>947164</v>
      </c>
      <c r="P35" s="4">
        <v>262055</v>
      </c>
      <c r="Q35" s="4">
        <v>494240</v>
      </c>
      <c r="R35" s="4">
        <f>SUM(Table1_1[[#This Row],[Fuel_Cost_INR]:[Operating_Cost_INR]])</f>
        <v>756295</v>
      </c>
      <c r="S35" s="4">
        <f>Table1_1[[#This Row],[Total_Revenue]]-Table1_1[[#This Row],[Total_Cost]]</f>
        <v>190869</v>
      </c>
      <c r="T35" s="9">
        <f>(Table1_1[[#This Row],[Total_Profit]]/Table1_1[[#This Row],[Total_Revenue]])</f>
        <v>0.20151631607620221</v>
      </c>
      <c r="U35" s="5">
        <v>87</v>
      </c>
      <c r="V35" s="6" t="s">
        <v>18</v>
      </c>
      <c r="W35" s="8">
        <v>4.2</v>
      </c>
      <c r="X35" t="str" cm="1">
        <f t="array" ref="X35">_xlfn.IFS(Table1_1[[#This Row],[Customer_Rating]]&lt;3,"Poor",Table1_1[[#This Row],[Customer_Rating]]&lt;4,"Good",Table1_1[[#This Row],[Customer_Rating]]&gt;=4,"Excellent")</f>
        <v>Excellent</v>
      </c>
    </row>
    <row r="36" spans="1:24" x14ac:dyDescent="0.35">
      <c r="A36" s="2" t="s">
        <v>94</v>
      </c>
      <c r="B36" s="3">
        <v>45965</v>
      </c>
      <c r="C36" s="3" t="str">
        <f>TEXT(Table1_1[[#This Row],[Date]],"YYYY")</f>
        <v>2025</v>
      </c>
      <c r="D36" s="3" t="str">
        <f>TEXT(Table1_1[[#This Row],[Date]],"mmm")</f>
        <v>Nov</v>
      </c>
      <c r="E36" s="2" t="s">
        <v>32</v>
      </c>
      <c r="F36" s="2" t="str">
        <f>INDEX(IndiGo_Flight_Data!$R$2:$R$11,MATCH(Table1_1[[#This Row],[Route]],_xlfn.ANCHORARRAY(IndiGo_Flight_Data!$Q$2),0))</f>
        <v>Bengaluru - Cochin</v>
      </c>
      <c r="G36" s="2" t="s">
        <v>43</v>
      </c>
      <c r="H36">
        <v>210</v>
      </c>
      <c r="I36">
        <v>232</v>
      </c>
      <c r="J36">
        <f>Table1_1[[#This Row],[Seat_Capacity]]-Table1_1[[#This Row],[Passengers]]</f>
        <v>22</v>
      </c>
      <c r="K36">
        <v>90.52</v>
      </c>
      <c r="L36" t="str" cm="1">
        <f t="array" ref="L36">_xlfn.IFS(Table1_1[[#This Row],[Load_Factor_%]]&lt;60,"Low",Table1_1[[#This Row],[Load_Factor_%]]&lt;85,"Intermediate",Table1_1[[#This Row],[Load_Factor_%]]&gt;=85,"High")</f>
        <v>High</v>
      </c>
      <c r="M36" s="4">
        <v>790110</v>
      </c>
      <c r="N36" s="4">
        <v>63250</v>
      </c>
      <c r="O36" s="4">
        <f>SUM(Table1_1[[#This Row],[Ticket_Revenue_INR]:[Cargo_Revenue_INR]])</f>
        <v>853360</v>
      </c>
      <c r="P36" s="4">
        <v>1009113</v>
      </c>
      <c r="Q36" s="4">
        <v>1413409</v>
      </c>
      <c r="R36" s="4">
        <f>SUM(Table1_1[[#This Row],[Fuel_Cost_INR]:[Operating_Cost_INR]])</f>
        <v>2422522</v>
      </c>
      <c r="S36" s="4">
        <f>Table1_1[[#This Row],[Total_Revenue]]-Table1_1[[#This Row],[Total_Cost]]</f>
        <v>-1569162</v>
      </c>
      <c r="T36" s="9">
        <f>(Table1_1[[#This Row],[Total_Profit]]/Table1_1[[#This Row],[Total_Revenue]])</f>
        <v>-1.8388042561169964</v>
      </c>
      <c r="U36" s="5">
        <v>12</v>
      </c>
      <c r="V36" s="6" t="s">
        <v>33</v>
      </c>
      <c r="W36" s="8">
        <v>4.8</v>
      </c>
      <c r="X36" t="str" cm="1">
        <f t="array" ref="X36">_xlfn.IFS(Table1_1[[#This Row],[Customer_Rating]]&lt;3,"Poor",Table1_1[[#This Row],[Customer_Rating]]&lt;4,"Good",Table1_1[[#This Row],[Customer_Rating]]&gt;=4,"Excellent")</f>
        <v>Excellent</v>
      </c>
    </row>
    <row r="37" spans="1:24" x14ac:dyDescent="0.35">
      <c r="A37" s="2" t="s">
        <v>95</v>
      </c>
      <c r="B37" s="3">
        <v>45957</v>
      </c>
      <c r="C37" s="3" t="str">
        <f>TEXT(Table1_1[[#This Row],[Date]],"YYYY")</f>
        <v>2025</v>
      </c>
      <c r="D37" s="3" t="str">
        <f>TEXT(Table1_1[[#This Row],[Date]],"mmm")</f>
        <v>Oct</v>
      </c>
      <c r="E37" s="2" t="s">
        <v>59</v>
      </c>
      <c r="F37" s="2" t="str">
        <f>INDEX(IndiGo_Flight_Data!$R$2:$R$11,MATCH(Table1_1[[#This Row],[Route]],_xlfn.ANCHORARRAY(IndiGo_Flight_Data!$Q$2),0))</f>
        <v>Bengaluru - Bombay</v>
      </c>
      <c r="G37" s="2" t="s">
        <v>24</v>
      </c>
      <c r="H37">
        <v>144</v>
      </c>
      <c r="I37">
        <v>180</v>
      </c>
      <c r="J37">
        <f>Table1_1[[#This Row],[Seat_Capacity]]-Table1_1[[#This Row],[Passengers]]</f>
        <v>36</v>
      </c>
      <c r="K37">
        <v>80</v>
      </c>
      <c r="L37" t="str" cm="1">
        <f t="array" ref="L37">_xlfn.IFS(Table1_1[[#This Row],[Load_Factor_%]]&lt;60,"Low",Table1_1[[#This Row],[Load_Factor_%]]&lt;85,"Intermediate",Table1_1[[#This Row],[Load_Factor_%]]&gt;=85,"High")</f>
        <v>Intermediate</v>
      </c>
      <c r="M37" s="4">
        <v>1148986</v>
      </c>
      <c r="N37" s="4">
        <v>72223</v>
      </c>
      <c r="O37" s="4">
        <f>SUM(Table1_1[[#This Row],[Ticket_Revenue_INR]:[Cargo_Revenue_INR]])</f>
        <v>1221209</v>
      </c>
      <c r="P37" s="4">
        <v>959639</v>
      </c>
      <c r="Q37" s="4">
        <v>1449606</v>
      </c>
      <c r="R37" s="4">
        <f>SUM(Table1_1[[#This Row],[Fuel_Cost_INR]:[Operating_Cost_INR]])</f>
        <v>2409245</v>
      </c>
      <c r="S37" s="4">
        <f>Table1_1[[#This Row],[Total_Revenue]]-Table1_1[[#This Row],[Total_Cost]]</f>
        <v>-1188036</v>
      </c>
      <c r="T37" s="9">
        <f>(Table1_1[[#This Row],[Total_Profit]]/Table1_1[[#This Row],[Total_Revenue]])</f>
        <v>-0.97283593553601388</v>
      </c>
      <c r="U37" s="5">
        <v>61</v>
      </c>
      <c r="V37" s="6" t="s">
        <v>18</v>
      </c>
      <c r="W37" s="8">
        <v>4.5</v>
      </c>
      <c r="X37" t="str" cm="1">
        <f t="array" ref="X37">_xlfn.IFS(Table1_1[[#This Row],[Customer_Rating]]&lt;3,"Poor",Table1_1[[#This Row],[Customer_Rating]]&lt;4,"Good",Table1_1[[#This Row],[Customer_Rating]]&gt;=4,"Excellent")</f>
        <v>Excellent</v>
      </c>
    </row>
    <row r="38" spans="1:24" x14ac:dyDescent="0.35">
      <c r="A38" s="2" t="s">
        <v>97</v>
      </c>
      <c r="B38" s="3">
        <v>45819</v>
      </c>
      <c r="C38" s="3" t="str">
        <f>TEXT(Table1_1[[#This Row],[Date]],"YYYY")</f>
        <v>2025</v>
      </c>
      <c r="D38" s="3" t="str">
        <f>TEXT(Table1_1[[#This Row],[Date]],"mmm")</f>
        <v>Jun</v>
      </c>
      <c r="E38" s="2" t="s">
        <v>29</v>
      </c>
      <c r="F38" s="2" t="str">
        <f>INDEX(IndiGo_Flight_Data!$R$2:$R$11,MATCH(Table1_1[[#This Row],[Route]],_xlfn.ANCHORARRAY(IndiGo_Flight_Data!$Q$2),0))</f>
        <v>Calacatta - Delhi</v>
      </c>
      <c r="G38" s="2" t="s">
        <v>24</v>
      </c>
      <c r="H38">
        <v>155</v>
      </c>
      <c r="I38">
        <v>180</v>
      </c>
      <c r="J38">
        <f>Table1_1[[#This Row],[Seat_Capacity]]-Table1_1[[#This Row],[Passengers]]</f>
        <v>25</v>
      </c>
      <c r="K38">
        <v>86.11</v>
      </c>
      <c r="L38" t="str" cm="1">
        <f t="array" ref="L38">_xlfn.IFS(Table1_1[[#This Row],[Load_Factor_%]]&lt;60,"Low",Table1_1[[#This Row],[Load_Factor_%]]&lt;85,"Intermediate",Table1_1[[#This Row],[Load_Factor_%]]&gt;=85,"High")</f>
        <v>High</v>
      </c>
      <c r="M38" s="4">
        <v>1005730</v>
      </c>
      <c r="N38" s="4">
        <v>30538</v>
      </c>
      <c r="O38" s="4">
        <f>SUM(Table1_1[[#This Row],[Ticket_Revenue_INR]:[Cargo_Revenue_INR]])</f>
        <v>1036268</v>
      </c>
      <c r="P38" s="4">
        <v>267803</v>
      </c>
      <c r="Q38" s="4">
        <v>375957</v>
      </c>
      <c r="R38" s="4">
        <f>SUM(Table1_1[[#This Row],[Fuel_Cost_INR]:[Operating_Cost_INR]])</f>
        <v>643760</v>
      </c>
      <c r="S38" s="4">
        <f>Table1_1[[#This Row],[Total_Revenue]]-Table1_1[[#This Row],[Total_Cost]]</f>
        <v>392508</v>
      </c>
      <c r="T38" s="9">
        <f>(Table1_1[[#This Row],[Total_Profit]]/Table1_1[[#This Row],[Total_Revenue]])</f>
        <v>0.37877074270362493</v>
      </c>
      <c r="U38" s="5">
        <v>7</v>
      </c>
      <c r="V38" s="6" t="s">
        <v>33</v>
      </c>
      <c r="W38" s="8">
        <v>3.6</v>
      </c>
      <c r="X38" t="str" cm="1">
        <f t="array" ref="X38">_xlfn.IFS(Table1_1[[#This Row],[Customer_Rating]]&lt;3,"Poor",Table1_1[[#This Row],[Customer_Rating]]&lt;4,"Good",Table1_1[[#This Row],[Customer_Rating]]&gt;=4,"Excellent")</f>
        <v>Good</v>
      </c>
    </row>
    <row r="39" spans="1:24" x14ac:dyDescent="0.35">
      <c r="A39" s="2" t="s">
        <v>99</v>
      </c>
      <c r="B39" s="3">
        <v>45845</v>
      </c>
      <c r="C39" s="3" t="str">
        <f>TEXT(Table1_1[[#This Row],[Date]],"YYYY")</f>
        <v>2025</v>
      </c>
      <c r="D39" s="3" t="str">
        <f>TEXT(Table1_1[[#This Row],[Date]],"mmm")</f>
        <v>Jul</v>
      </c>
      <c r="E39" s="2" t="s">
        <v>21</v>
      </c>
      <c r="F39" s="2" t="str">
        <f>INDEX(IndiGo_Flight_Data!$R$2:$R$11,MATCH(Table1_1[[#This Row],[Route]],_xlfn.ANCHORARRAY(IndiGo_Flight_Data!$Q$2),0))</f>
        <v>Bengaluru - Hyderabad</v>
      </c>
      <c r="G39" s="2" t="s">
        <v>24</v>
      </c>
      <c r="H39">
        <v>153</v>
      </c>
      <c r="I39">
        <v>180</v>
      </c>
      <c r="J39">
        <f>Table1_1[[#This Row],[Seat_Capacity]]-Table1_1[[#This Row],[Passengers]]</f>
        <v>27</v>
      </c>
      <c r="K39">
        <v>85</v>
      </c>
      <c r="L39" t="str" cm="1">
        <f t="array" ref="L39">_xlfn.IFS(Table1_1[[#This Row],[Load_Factor_%]]&lt;60,"Low",Table1_1[[#This Row],[Load_Factor_%]]&lt;85,"Intermediate",Table1_1[[#This Row],[Load_Factor_%]]&gt;=85,"High")</f>
        <v>High</v>
      </c>
      <c r="M39" s="4">
        <v>1132402</v>
      </c>
      <c r="N39" s="4">
        <v>32216</v>
      </c>
      <c r="O39" s="4">
        <f>SUM(Table1_1[[#This Row],[Ticket_Revenue_INR]:[Cargo_Revenue_INR]])</f>
        <v>1164618</v>
      </c>
      <c r="P39" s="4">
        <v>435095</v>
      </c>
      <c r="Q39" s="4">
        <v>1024285</v>
      </c>
      <c r="R39" s="4">
        <f>SUM(Table1_1[[#This Row],[Fuel_Cost_INR]:[Operating_Cost_INR]])</f>
        <v>1459380</v>
      </c>
      <c r="S39" s="4">
        <f>Table1_1[[#This Row],[Total_Revenue]]-Table1_1[[#This Row],[Total_Cost]]</f>
        <v>-294762</v>
      </c>
      <c r="T39" s="9">
        <f>(Table1_1[[#This Row],[Total_Profit]]/Table1_1[[#This Row],[Total_Revenue]])</f>
        <v>-0.25309758221150624</v>
      </c>
      <c r="U39" s="5">
        <v>50</v>
      </c>
      <c r="V39" s="6" t="s">
        <v>18</v>
      </c>
      <c r="W39" s="8">
        <v>4.4000000000000004</v>
      </c>
      <c r="X39" t="str" cm="1">
        <f t="array" ref="X39">_xlfn.IFS(Table1_1[[#This Row],[Customer_Rating]]&lt;3,"Poor",Table1_1[[#This Row],[Customer_Rating]]&lt;4,"Good",Table1_1[[#This Row],[Customer_Rating]]&gt;=4,"Excellent")</f>
        <v>Excellent</v>
      </c>
    </row>
    <row r="40" spans="1:24" x14ac:dyDescent="0.35">
      <c r="A40" s="2" t="s">
        <v>101</v>
      </c>
      <c r="B40" s="3">
        <v>45841</v>
      </c>
      <c r="C40" s="3" t="str">
        <f>TEXT(Table1_1[[#This Row],[Date]],"YYYY")</f>
        <v>2025</v>
      </c>
      <c r="D40" s="3" t="str">
        <f>TEXT(Table1_1[[#This Row],[Date]],"mmm")</f>
        <v>Jul</v>
      </c>
      <c r="E40" s="2" t="s">
        <v>21</v>
      </c>
      <c r="F40" s="2" t="str">
        <f>INDEX(IndiGo_Flight_Data!$R$2:$R$11,MATCH(Table1_1[[#This Row],[Route]],_xlfn.ANCHORARRAY(IndiGo_Flight_Data!$Q$2),0))</f>
        <v>Bengaluru - Hyderabad</v>
      </c>
      <c r="G40" s="2" t="s">
        <v>43</v>
      </c>
      <c r="H40">
        <v>210</v>
      </c>
      <c r="I40">
        <v>232</v>
      </c>
      <c r="J40">
        <f>Table1_1[[#This Row],[Seat_Capacity]]-Table1_1[[#This Row],[Passengers]]</f>
        <v>22</v>
      </c>
      <c r="K40">
        <v>90.52</v>
      </c>
      <c r="L40" t="str" cm="1">
        <f t="array" ref="L40">_xlfn.IFS(Table1_1[[#This Row],[Load_Factor_%]]&lt;60,"Low",Table1_1[[#This Row],[Load_Factor_%]]&lt;85,"Intermediate",Table1_1[[#This Row],[Load_Factor_%]]&gt;=85,"High")</f>
        <v>High</v>
      </c>
      <c r="M40" s="4">
        <v>1104839</v>
      </c>
      <c r="N40" s="4">
        <v>69140</v>
      </c>
      <c r="O40" s="4">
        <f>SUM(Table1_1[[#This Row],[Ticket_Revenue_INR]:[Cargo_Revenue_INR]])</f>
        <v>1173979</v>
      </c>
      <c r="P40" s="4">
        <v>566810</v>
      </c>
      <c r="Q40" s="4">
        <v>1196556</v>
      </c>
      <c r="R40" s="4">
        <f>SUM(Table1_1[[#This Row],[Fuel_Cost_INR]:[Operating_Cost_INR]])</f>
        <v>1763366</v>
      </c>
      <c r="S40" s="4">
        <f>Table1_1[[#This Row],[Total_Revenue]]-Table1_1[[#This Row],[Total_Cost]]</f>
        <v>-589387</v>
      </c>
      <c r="T40" s="9">
        <f>(Table1_1[[#This Row],[Total_Profit]]/Table1_1[[#This Row],[Total_Revenue]])</f>
        <v>-0.50204220007342548</v>
      </c>
      <c r="U40" s="5">
        <v>6</v>
      </c>
      <c r="V40" s="6" t="s">
        <v>33</v>
      </c>
      <c r="W40" s="8">
        <v>4.7</v>
      </c>
      <c r="X40" t="str" cm="1">
        <f t="array" ref="X40">_xlfn.IFS(Table1_1[[#This Row],[Customer_Rating]]&lt;3,"Poor",Table1_1[[#This Row],[Customer_Rating]]&lt;4,"Good",Table1_1[[#This Row],[Customer_Rating]]&gt;=4,"Excellent")</f>
        <v>Excellent</v>
      </c>
    </row>
    <row r="41" spans="1:24" x14ac:dyDescent="0.35">
      <c r="A41" s="2" t="s">
        <v>103</v>
      </c>
      <c r="B41" s="3">
        <v>45872</v>
      </c>
      <c r="C41" s="3" t="str">
        <f>TEXT(Table1_1[[#This Row],[Date]],"YYYY")</f>
        <v>2025</v>
      </c>
      <c r="D41" s="3" t="str">
        <f>TEXT(Table1_1[[#This Row],[Date]],"mmm")</f>
        <v>Aug</v>
      </c>
      <c r="E41" s="2" t="s">
        <v>21</v>
      </c>
      <c r="F41" s="2" t="str">
        <f>INDEX(IndiGo_Flight_Data!$R$2:$R$11,MATCH(Table1_1[[#This Row],[Route]],_xlfn.ANCHORARRAY(IndiGo_Flight_Data!$Q$2),0))</f>
        <v>Bengaluru - Hyderabad</v>
      </c>
      <c r="G41" s="2" t="s">
        <v>17</v>
      </c>
      <c r="H41">
        <v>72</v>
      </c>
      <c r="I41">
        <v>78</v>
      </c>
      <c r="J41">
        <f>Table1_1[[#This Row],[Seat_Capacity]]-Table1_1[[#This Row],[Passengers]]</f>
        <v>6</v>
      </c>
      <c r="K41">
        <v>92.31</v>
      </c>
      <c r="L41" t="str" cm="1">
        <f t="array" ref="L41">_xlfn.IFS(Table1_1[[#This Row],[Load_Factor_%]]&lt;60,"Low",Table1_1[[#This Row],[Load_Factor_%]]&lt;85,"Intermediate",Table1_1[[#This Row],[Load_Factor_%]]&gt;=85,"High")</f>
        <v>High</v>
      </c>
      <c r="M41" s="4">
        <v>424528</v>
      </c>
      <c r="N41" s="4">
        <v>91877</v>
      </c>
      <c r="O41" s="4">
        <f>SUM(Table1_1[[#This Row],[Ticket_Revenue_INR]:[Cargo_Revenue_INR]])</f>
        <v>516405</v>
      </c>
      <c r="P41" s="4">
        <v>1018863</v>
      </c>
      <c r="Q41" s="4">
        <v>1561802</v>
      </c>
      <c r="R41" s="4">
        <f>SUM(Table1_1[[#This Row],[Fuel_Cost_INR]:[Operating_Cost_INR]])</f>
        <v>2580665</v>
      </c>
      <c r="S41" s="4">
        <f>Table1_1[[#This Row],[Total_Revenue]]-Table1_1[[#This Row],[Total_Cost]]</f>
        <v>-2064260</v>
      </c>
      <c r="T41" s="9">
        <f>(Table1_1[[#This Row],[Total_Profit]]/Table1_1[[#This Row],[Total_Revenue]])</f>
        <v>-3.9973664081486429</v>
      </c>
      <c r="U41" s="5">
        <v>60</v>
      </c>
      <c r="V41" s="6" t="s">
        <v>18</v>
      </c>
      <c r="W41" s="8">
        <v>4.5999999999999996</v>
      </c>
      <c r="X41" t="str" cm="1">
        <f t="array" ref="X41">_xlfn.IFS(Table1_1[[#This Row],[Customer_Rating]]&lt;3,"Poor",Table1_1[[#This Row],[Customer_Rating]]&lt;4,"Good",Table1_1[[#This Row],[Customer_Rating]]&gt;=4,"Excellent")</f>
        <v>Excellent</v>
      </c>
    </row>
    <row r="42" spans="1:24" x14ac:dyDescent="0.35">
      <c r="A42" s="2" t="s">
        <v>105</v>
      </c>
      <c r="B42" s="3">
        <v>45775</v>
      </c>
      <c r="C42" s="3" t="str">
        <f>TEXT(Table1_1[[#This Row],[Date]],"YYYY")</f>
        <v>2025</v>
      </c>
      <c r="D42" s="3" t="str">
        <f>TEXT(Table1_1[[#This Row],[Date]],"mmm")</f>
        <v>Apr</v>
      </c>
      <c r="E42" s="2" t="s">
        <v>21</v>
      </c>
      <c r="F42" s="2" t="str">
        <f>INDEX(IndiGo_Flight_Data!$R$2:$R$11,MATCH(Table1_1[[#This Row],[Route]],_xlfn.ANCHORARRAY(IndiGo_Flight_Data!$Q$2),0))</f>
        <v>Bengaluru - Hyderabad</v>
      </c>
      <c r="G42" s="2" t="s">
        <v>43</v>
      </c>
      <c r="H42">
        <v>210</v>
      </c>
      <c r="I42">
        <v>232</v>
      </c>
      <c r="J42">
        <f>Table1_1[[#This Row],[Seat_Capacity]]-Table1_1[[#This Row],[Passengers]]</f>
        <v>22</v>
      </c>
      <c r="K42">
        <v>90.52</v>
      </c>
      <c r="L42" t="str" cm="1">
        <f t="array" ref="L42">_xlfn.IFS(Table1_1[[#This Row],[Load_Factor_%]]&lt;60,"Low",Table1_1[[#This Row],[Load_Factor_%]]&lt;85,"Intermediate",Table1_1[[#This Row],[Load_Factor_%]]&gt;=85,"High")</f>
        <v>High</v>
      </c>
      <c r="M42" s="4">
        <v>1370473</v>
      </c>
      <c r="N42" s="4">
        <v>35485</v>
      </c>
      <c r="O42" s="4">
        <f>SUM(Table1_1[[#This Row],[Ticket_Revenue_INR]:[Cargo_Revenue_INR]])</f>
        <v>1405958</v>
      </c>
      <c r="P42" s="4">
        <v>549553</v>
      </c>
      <c r="Q42" s="4">
        <v>1170645</v>
      </c>
      <c r="R42" s="4">
        <f>SUM(Table1_1[[#This Row],[Fuel_Cost_INR]:[Operating_Cost_INR]])</f>
        <v>1720198</v>
      </c>
      <c r="S42" s="4">
        <f>Table1_1[[#This Row],[Total_Revenue]]-Table1_1[[#This Row],[Total_Cost]]</f>
        <v>-314240</v>
      </c>
      <c r="T42" s="9">
        <f>(Table1_1[[#This Row],[Total_Profit]]/Table1_1[[#This Row],[Total_Revenue]])</f>
        <v>-0.22350596532755601</v>
      </c>
      <c r="U42" s="5">
        <v>84</v>
      </c>
      <c r="V42" s="6" t="s">
        <v>18</v>
      </c>
      <c r="W42" s="8">
        <v>3.9</v>
      </c>
      <c r="X42" t="str" cm="1">
        <f t="array" ref="X42">_xlfn.IFS(Table1_1[[#This Row],[Customer_Rating]]&lt;3,"Poor",Table1_1[[#This Row],[Customer_Rating]]&lt;4,"Good",Table1_1[[#This Row],[Customer_Rating]]&gt;=4,"Excellent")</f>
        <v>Good</v>
      </c>
    </row>
    <row r="43" spans="1:24" x14ac:dyDescent="0.35">
      <c r="A43" s="2" t="s">
        <v>107</v>
      </c>
      <c r="B43" s="3">
        <v>45670</v>
      </c>
      <c r="C43" s="3" t="str">
        <f>TEXT(Table1_1[[#This Row],[Date]],"YYYY")</f>
        <v>2025</v>
      </c>
      <c r="D43" s="3" t="str">
        <f>TEXT(Table1_1[[#This Row],[Date]],"mmm")</f>
        <v>Jan</v>
      </c>
      <c r="E43" s="2" t="s">
        <v>21</v>
      </c>
      <c r="F43" s="2" t="str">
        <f>INDEX(IndiGo_Flight_Data!$R$2:$R$11,MATCH(Table1_1[[#This Row],[Route]],_xlfn.ANCHORARRAY(IndiGo_Flight_Data!$Q$2),0))</f>
        <v>Bengaluru - Hyderabad</v>
      </c>
      <c r="G43" s="2" t="s">
        <v>17</v>
      </c>
      <c r="H43">
        <v>68</v>
      </c>
      <c r="I43">
        <v>78</v>
      </c>
      <c r="J43">
        <f>Table1_1[[#This Row],[Seat_Capacity]]-Table1_1[[#This Row],[Passengers]]</f>
        <v>10</v>
      </c>
      <c r="K43">
        <v>87.18</v>
      </c>
      <c r="L43" t="str" cm="1">
        <f t="array" ref="L43">_xlfn.IFS(Table1_1[[#This Row],[Load_Factor_%]]&lt;60,"Low",Table1_1[[#This Row],[Load_Factor_%]]&lt;85,"Intermediate",Table1_1[[#This Row],[Load_Factor_%]]&gt;=85,"High")</f>
        <v>High</v>
      </c>
      <c r="M43" s="4">
        <v>501946</v>
      </c>
      <c r="N43" s="4">
        <v>37134</v>
      </c>
      <c r="O43" s="4">
        <f>SUM(Table1_1[[#This Row],[Ticket_Revenue_INR]:[Cargo_Revenue_INR]])</f>
        <v>539080</v>
      </c>
      <c r="P43" s="4">
        <v>1137452</v>
      </c>
      <c r="Q43" s="4">
        <v>1633847</v>
      </c>
      <c r="R43" s="4">
        <f>SUM(Table1_1[[#This Row],[Fuel_Cost_INR]:[Operating_Cost_INR]])</f>
        <v>2771299</v>
      </c>
      <c r="S43" s="4">
        <f>Table1_1[[#This Row],[Total_Revenue]]-Table1_1[[#This Row],[Total_Cost]]</f>
        <v>-2232219</v>
      </c>
      <c r="T43" s="9">
        <f>(Table1_1[[#This Row],[Total_Profit]]/Table1_1[[#This Row],[Total_Revenue]])</f>
        <v>-4.1407935742375903</v>
      </c>
      <c r="U43" s="5">
        <v>41</v>
      </c>
      <c r="V43" s="6" t="s">
        <v>18</v>
      </c>
      <c r="W43" s="8">
        <v>4.2</v>
      </c>
      <c r="X43" t="str" cm="1">
        <f t="array" ref="X43">_xlfn.IFS(Table1_1[[#This Row],[Customer_Rating]]&lt;3,"Poor",Table1_1[[#This Row],[Customer_Rating]]&lt;4,"Good",Table1_1[[#This Row],[Customer_Rating]]&gt;=4,"Excellent")</f>
        <v>Excellent</v>
      </c>
    </row>
    <row r="44" spans="1:24" x14ac:dyDescent="0.35">
      <c r="A44" s="2" t="s">
        <v>109</v>
      </c>
      <c r="B44" s="3">
        <v>45944</v>
      </c>
      <c r="C44" s="3" t="str">
        <f>TEXT(Table1_1[[#This Row],[Date]],"YYYY")</f>
        <v>2025</v>
      </c>
      <c r="D44" s="3" t="str">
        <f>TEXT(Table1_1[[#This Row],[Date]],"mmm")</f>
        <v>Oct</v>
      </c>
      <c r="E44" s="2" t="s">
        <v>42</v>
      </c>
      <c r="F44" s="2" t="str">
        <f>INDEX(IndiGo_Flight_Data!$R$2:$R$11,MATCH(Table1_1[[#This Row],[Route]],_xlfn.ANCHORARRAY(IndiGo_Flight_Data!$Q$2),0))</f>
        <v>Bombay - Hyderabad</v>
      </c>
      <c r="G44" s="2" t="s">
        <v>43</v>
      </c>
      <c r="H44">
        <v>209</v>
      </c>
      <c r="I44">
        <v>232</v>
      </c>
      <c r="J44">
        <f>Table1_1[[#This Row],[Seat_Capacity]]-Table1_1[[#This Row],[Passengers]]</f>
        <v>23</v>
      </c>
      <c r="K44">
        <v>90.09</v>
      </c>
      <c r="L44" t="str" cm="1">
        <f t="array" ref="L44">_xlfn.IFS(Table1_1[[#This Row],[Load_Factor_%]]&lt;60,"Low",Table1_1[[#This Row],[Load_Factor_%]]&lt;85,"Intermediate",Table1_1[[#This Row],[Load_Factor_%]]&gt;=85,"High")</f>
        <v>High</v>
      </c>
      <c r="M44" s="4">
        <v>1018380</v>
      </c>
      <c r="N44" s="4">
        <v>23359</v>
      </c>
      <c r="O44" s="4">
        <f>SUM(Table1_1[[#This Row],[Ticket_Revenue_INR]:[Cargo_Revenue_INR]])</f>
        <v>1041739</v>
      </c>
      <c r="P44" s="4">
        <v>933027</v>
      </c>
      <c r="Q44" s="4">
        <v>1497383</v>
      </c>
      <c r="R44" s="4">
        <f>SUM(Table1_1[[#This Row],[Fuel_Cost_INR]:[Operating_Cost_INR]])</f>
        <v>2430410</v>
      </c>
      <c r="S44" s="4">
        <f>Table1_1[[#This Row],[Total_Revenue]]-Table1_1[[#This Row],[Total_Cost]]</f>
        <v>-1388671</v>
      </c>
      <c r="T44" s="9">
        <f>(Table1_1[[#This Row],[Total_Profit]]/Table1_1[[#This Row],[Total_Revenue]])</f>
        <v>-1.3330315942860929</v>
      </c>
      <c r="U44" s="5">
        <v>75</v>
      </c>
      <c r="V44" s="6" t="s">
        <v>18</v>
      </c>
      <c r="W44" s="8">
        <v>3.9</v>
      </c>
      <c r="X44" t="str" cm="1">
        <f t="array" ref="X44">_xlfn.IFS(Table1_1[[#This Row],[Customer_Rating]]&lt;3,"Poor",Table1_1[[#This Row],[Customer_Rating]]&lt;4,"Good",Table1_1[[#This Row],[Customer_Rating]]&gt;=4,"Excellent")</f>
        <v>Good</v>
      </c>
    </row>
    <row r="45" spans="1:24" x14ac:dyDescent="0.35">
      <c r="A45" s="2" t="s">
        <v>111</v>
      </c>
      <c r="B45" s="3">
        <v>45820</v>
      </c>
      <c r="C45" s="3" t="str">
        <f>TEXT(Table1_1[[#This Row],[Date]],"YYYY")</f>
        <v>2025</v>
      </c>
      <c r="D45" s="3" t="str">
        <f>TEXT(Table1_1[[#This Row],[Date]],"mmm")</f>
        <v>Jun</v>
      </c>
      <c r="E45" s="2" t="s">
        <v>32</v>
      </c>
      <c r="F45" s="2" t="str">
        <f>INDEX(IndiGo_Flight_Data!$R$2:$R$11,MATCH(Table1_1[[#This Row],[Route]],_xlfn.ANCHORARRAY(IndiGo_Flight_Data!$Q$2),0))</f>
        <v>Bengaluru - Cochin</v>
      </c>
      <c r="G45" s="2" t="s">
        <v>17</v>
      </c>
      <c r="H45">
        <v>46</v>
      </c>
      <c r="I45">
        <v>78</v>
      </c>
      <c r="J45">
        <f>Table1_1[[#This Row],[Seat_Capacity]]-Table1_1[[#This Row],[Passengers]]</f>
        <v>32</v>
      </c>
      <c r="K45">
        <v>58.97</v>
      </c>
      <c r="L45" t="str" cm="1">
        <f t="array" ref="L45">_xlfn.IFS(Table1_1[[#This Row],[Load_Factor_%]]&lt;60,"Low",Table1_1[[#This Row],[Load_Factor_%]]&lt;85,"Intermediate",Table1_1[[#This Row],[Load_Factor_%]]&gt;=85,"High")</f>
        <v>Low</v>
      </c>
      <c r="M45" s="4">
        <v>356206</v>
      </c>
      <c r="N45" s="4">
        <v>105680</v>
      </c>
      <c r="O45" s="4">
        <f>SUM(Table1_1[[#This Row],[Ticket_Revenue_INR]:[Cargo_Revenue_INR]])</f>
        <v>461886</v>
      </c>
      <c r="P45" s="4">
        <v>801240</v>
      </c>
      <c r="Q45" s="4">
        <v>902167</v>
      </c>
      <c r="R45" s="4">
        <f>SUM(Table1_1[[#This Row],[Fuel_Cost_INR]:[Operating_Cost_INR]])</f>
        <v>1703407</v>
      </c>
      <c r="S45" s="4">
        <f>Table1_1[[#This Row],[Total_Revenue]]-Table1_1[[#This Row],[Total_Cost]]</f>
        <v>-1241521</v>
      </c>
      <c r="T45" s="9">
        <f>(Table1_1[[#This Row],[Total_Profit]]/Table1_1[[#This Row],[Total_Revenue]])</f>
        <v>-2.6879381492402885</v>
      </c>
      <c r="U45" s="5">
        <v>18</v>
      </c>
      <c r="V45" s="6" t="s">
        <v>18</v>
      </c>
      <c r="W45" s="8">
        <v>3.4</v>
      </c>
      <c r="X45" t="str" cm="1">
        <f t="array" ref="X45">_xlfn.IFS(Table1_1[[#This Row],[Customer_Rating]]&lt;3,"Poor",Table1_1[[#This Row],[Customer_Rating]]&lt;4,"Good",Table1_1[[#This Row],[Customer_Rating]]&gt;=4,"Excellent")</f>
        <v>Good</v>
      </c>
    </row>
    <row r="46" spans="1:24" x14ac:dyDescent="0.35">
      <c r="A46" s="2" t="s">
        <v>113</v>
      </c>
      <c r="B46" s="3">
        <v>45723</v>
      </c>
      <c r="C46" s="3" t="str">
        <f>TEXT(Table1_1[[#This Row],[Date]],"YYYY")</f>
        <v>2025</v>
      </c>
      <c r="D46" s="3" t="str">
        <f>TEXT(Table1_1[[#This Row],[Date]],"mmm")</f>
        <v>Mar</v>
      </c>
      <c r="E46" s="2" t="s">
        <v>29</v>
      </c>
      <c r="F46" s="2" t="str">
        <f>INDEX(IndiGo_Flight_Data!$R$2:$R$11,MATCH(Table1_1[[#This Row],[Route]],_xlfn.ANCHORARRAY(IndiGo_Flight_Data!$Q$2),0))</f>
        <v>Calacatta - Delhi</v>
      </c>
      <c r="G46" s="2" t="s">
        <v>17</v>
      </c>
      <c r="H46">
        <v>62</v>
      </c>
      <c r="I46">
        <v>78</v>
      </c>
      <c r="J46">
        <f>Table1_1[[#This Row],[Seat_Capacity]]-Table1_1[[#This Row],[Passengers]]</f>
        <v>16</v>
      </c>
      <c r="K46">
        <v>79.489999999999995</v>
      </c>
      <c r="L46" t="str" cm="1">
        <f t="array" ref="L46">_xlfn.IFS(Table1_1[[#This Row],[Load_Factor_%]]&lt;60,"Low",Table1_1[[#This Row],[Load_Factor_%]]&lt;85,"Intermediate",Table1_1[[#This Row],[Load_Factor_%]]&gt;=85,"High")</f>
        <v>Intermediate</v>
      </c>
      <c r="M46" s="4">
        <v>426836</v>
      </c>
      <c r="N46" s="4">
        <v>34958</v>
      </c>
      <c r="O46" s="4">
        <f>SUM(Table1_1[[#This Row],[Ticket_Revenue_INR]:[Cargo_Revenue_INR]])</f>
        <v>461794</v>
      </c>
      <c r="P46" s="4">
        <v>1085180</v>
      </c>
      <c r="Q46" s="4">
        <v>1361873</v>
      </c>
      <c r="R46" s="4">
        <f>SUM(Table1_1[[#This Row],[Fuel_Cost_INR]:[Operating_Cost_INR]])</f>
        <v>2447053</v>
      </c>
      <c r="S46" s="4">
        <f>Table1_1[[#This Row],[Total_Revenue]]-Table1_1[[#This Row],[Total_Cost]]</f>
        <v>-1985259</v>
      </c>
      <c r="T46" s="9">
        <f>(Table1_1[[#This Row],[Total_Profit]]/Table1_1[[#This Row],[Total_Revenue]])</f>
        <v>-4.2990142790941412</v>
      </c>
      <c r="U46" s="5">
        <v>67</v>
      </c>
      <c r="V46" s="6" t="s">
        <v>18</v>
      </c>
      <c r="W46" s="8">
        <v>4.9000000000000004</v>
      </c>
      <c r="X46" t="str" cm="1">
        <f t="array" ref="X46">_xlfn.IFS(Table1_1[[#This Row],[Customer_Rating]]&lt;3,"Poor",Table1_1[[#This Row],[Customer_Rating]]&lt;4,"Good",Table1_1[[#This Row],[Customer_Rating]]&gt;=4,"Excellent")</f>
        <v>Excellent</v>
      </c>
    </row>
    <row r="47" spans="1:24" x14ac:dyDescent="0.35">
      <c r="A47" s="2" t="s">
        <v>115</v>
      </c>
      <c r="B47" s="3">
        <v>45969</v>
      </c>
      <c r="C47" s="3" t="str">
        <f>TEXT(Table1_1[[#This Row],[Date]],"YYYY")</f>
        <v>2025</v>
      </c>
      <c r="D47" s="3" t="str">
        <f>TEXT(Table1_1[[#This Row],[Date]],"mmm")</f>
        <v>Nov</v>
      </c>
      <c r="E47" s="2" t="s">
        <v>117</v>
      </c>
      <c r="F47" s="2" t="str">
        <f>INDEX(IndiGo_Flight_Data!$R$2:$R$11,MATCH(Table1_1[[#This Row],[Route]],_xlfn.ANCHORARRAY(IndiGo_Flight_Data!$Q$2),0))</f>
        <v>Bengaluru - Calacatta</v>
      </c>
      <c r="G47" s="2" t="s">
        <v>43</v>
      </c>
      <c r="H47">
        <v>162</v>
      </c>
      <c r="I47">
        <v>232</v>
      </c>
      <c r="J47">
        <f>Table1_1[[#This Row],[Seat_Capacity]]-Table1_1[[#This Row],[Passengers]]</f>
        <v>70</v>
      </c>
      <c r="K47">
        <v>69.83</v>
      </c>
      <c r="L47" t="str" cm="1">
        <f t="array" ref="L47">_xlfn.IFS(Table1_1[[#This Row],[Load_Factor_%]]&lt;60,"Low",Table1_1[[#This Row],[Load_Factor_%]]&lt;85,"Intermediate",Table1_1[[#This Row],[Load_Factor_%]]&gt;=85,"High")</f>
        <v>Intermediate</v>
      </c>
      <c r="M47" s="4">
        <v>657048</v>
      </c>
      <c r="N47" s="4">
        <v>50733</v>
      </c>
      <c r="O47" s="4">
        <f>SUM(Table1_1[[#This Row],[Ticket_Revenue_INR]:[Cargo_Revenue_INR]])</f>
        <v>707781</v>
      </c>
      <c r="P47" s="4">
        <v>766694</v>
      </c>
      <c r="Q47" s="4">
        <v>908398</v>
      </c>
      <c r="R47" s="4">
        <f>SUM(Table1_1[[#This Row],[Fuel_Cost_INR]:[Operating_Cost_INR]])</f>
        <v>1675092</v>
      </c>
      <c r="S47" s="4">
        <f>Table1_1[[#This Row],[Total_Revenue]]-Table1_1[[#This Row],[Total_Cost]]</f>
        <v>-967311</v>
      </c>
      <c r="T47" s="9">
        <f>(Table1_1[[#This Row],[Total_Profit]]/Table1_1[[#This Row],[Total_Revenue]])</f>
        <v>-1.3666812191906819</v>
      </c>
      <c r="U47" s="5">
        <v>52</v>
      </c>
      <c r="V47" s="6" t="s">
        <v>18</v>
      </c>
      <c r="W47" s="8">
        <v>4.5</v>
      </c>
      <c r="X47" t="str" cm="1">
        <f t="array" ref="X47">_xlfn.IFS(Table1_1[[#This Row],[Customer_Rating]]&lt;3,"Poor",Table1_1[[#This Row],[Customer_Rating]]&lt;4,"Good",Table1_1[[#This Row],[Customer_Rating]]&gt;=4,"Excellent")</f>
        <v>Excellent</v>
      </c>
    </row>
    <row r="48" spans="1:24" x14ac:dyDescent="0.35">
      <c r="A48" s="2" t="s">
        <v>118</v>
      </c>
      <c r="B48" s="3">
        <v>45692</v>
      </c>
      <c r="C48" s="3" t="str">
        <f>TEXT(Table1_1[[#This Row],[Date]],"YYYY")</f>
        <v>2025</v>
      </c>
      <c r="D48" s="3" t="str">
        <f>TEXT(Table1_1[[#This Row],[Date]],"mmm")</f>
        <v>Feb</v>
      </c>
      <c r="E48" s="2" t="s">
        <v>76</v>
      </c>
      <c r="F48" s="2" t="str">
        <f>INDEX(IndiGo_Flight_Data!$R$2:$R$11,MATCH(Table1_1[[#This Row],[Route]],_xlfn.ANCHORARRAY(IndiGo_Flight_Data!$Q$2),0))</f>
        <v>Madras - Delhi</v>
      </c>
      <c r="G48" s="2" t="s">
        <v>24</v>
      </c>
      <c r="H48">
        <v>170</v>
      </c>
      <c r="I48">
        <v>180</v>
      </c>
      <c r="J48">
        <f>Table1_1[[#This Row],[Seat_Capacity]]-Table1_1[[#This Row],[Passengers]]</f>
        <v>10</v>
      </c>
      <c r="K48">
        <v>94.44</v>
      </c>
      <c r="L48" t="str" cm="1">
        <f t="array" ref="L48">_xlfn.IFS(Table1_1[[#This Row],[Load_Factor_%]]&lt;60,"Low",Table1_1[[#This Row],[Load_Factor_%]]&lt;85,"Intermediate",Table1_1[[#This Row],[Load_Factor_%]]&gt;=85,"High")</f>
        <v>High</v>
      </c>
      <c r="M48" s="4">
        <v>901160</v>
      </c>
      <c r="N48" s="4">
        <v>62125</v>
      </c>
      <c r="O48" s="4">
        <f>SUM(Table1_1[[#This Row],[Ticket_Revenue_INR]:[Cargo_Revenue_INR]])</f>
        <v>963285</v>
      </c>
      <c r="P48" s="4">
        <v>484493</v>
      </c>
      <c r="Q48" s="4">
        <v>1162464</v>
      </c>
      <c r="R48" s="4">
        <f>SUM(Table1_1[[#This Row],[Fuel_Cost_INR]:[Operating_Cost_INR]])</f>
        <v>1646957</v>
      </c>
      <c r="S48" s="4">
        <f>Table1_1[[#This Row],[Total_Revenue]]-Table1_1[[#This Row],[Total_Cost]]</f>
        <v>-683672</v>
      </c>
      <c r="T48" s="9">
        <f>(Table1_1[[#This Row],[Total_Profit]]/Table1_1[[#This Row],[Total_Revenue]])</f>
        <v>-0.70972972692401526</v>
      </c>
      <c r="U48" s="5">
        <v>9</v>
      </c>
      <c r="V48" s="6" t="s">
        <v>33</v>
      </c>
      <c r="W48" s="8">
        <v>4.8</v>
      </c>
      <c r="X48" t="str" cm="1">
        <f t="array" ref="X48">_xlfn.IFS(Table1_1[[#This Row],[Customer_Rating]]&lt;3,"Poor",Table1_1[[#This Row],[Customer_Rating]]&lt;4,"Good",Table1_1[[#This Row],[Customer_Rating]]&gt;=4,"Excellent")</f>
        <v>Excellent</v>
      </c>
    </row>
    <row r="49" spans="1:24" x14ac:dyDescent="0.35">
      <c r="A49" s="2" t="s">
        <v>120</v>
      </c>
      <c r="B49" s="3">
        <v>45802</v>
      </c>
      <c r="C49" s="3" t="str">
        <f>TEXT(Table1_1[[#This Row],[Date]],"YYYY")</f>
        <v>2025</v>
      </c>
      <c r="D49" s="3" t="str">
        <f>TEXT(Table1_1[[#This Row],[Date]],"mmm")</f>
        <v>May</v>
      </c>
      <c r="E49" s="2" t="s">
        <v>42</v>
      </c>
      <c r="F49" s="2" t="str">
        <f>INDEX(IndiGo_Flight_Data!$R$2:$R$11,MATCH(Table1_1[[#This Row],[Route]],_xlfn.ANCHORARRAY(IndiGo_Flight_Data!$Q$2),0))</f>
        <v>Bombay - Hyderabad</v>
      </c>
      <c r="G49" s="2" t="s">
        <v>24</v>
      </c>
      <c r="H49">
        <v>144</v>
      </c>
      <c r="I49">
        <v>180</v>
      </c>
      <c r="J49">
        <f>Table1_1[[#This Row],[Seat_Capacity]]-Table1_1[[#This Row],[Passengers]]</f>
        <v>36</v>
      </c>
      <c r="K49">
        <v>80</v>
      </c>
      <c r="L49" t="str" cm="1">
        <f t="array" ref="L49">_xlfn.IFS(Table1_1[[#This Row],[Load_Factor_%]]&lt;60,"Low",Table1_1[[#This Row],[Load_Factor_%]]&lt;85,"Intermediate",Table1_1[[#This Row],[Load_Factor_%]]&gt;=85,"High")</f>
        <v>Intermediate</v>
      </c>
      <c r="M49" s="4">
        <v>845591</v>
      </c>
      <c r="N49" s="4">
        <v>71410</v>
      </c>
      <c r="O49" s="4">
        <f>SUM(Table1_1[[#This Row],[Ticket_Revenue_INR]:[Cargo_Revenue_INR]])</f>
        <v>917001</v>
      </c>
      <c r="P49" s="4">
        <v>329726</v>
      </c>
      <c r="Q49" s="4">
        <v>829706</v>
      </c>
      <c r="R49" s="4">
        <f>SUM(Table1_1[[#This Row],[Fuel_Cost_INR]:[Operating_Cost_INR]])</f>
        <v>1159432</v>
      </c>
      <c r="S49" s="4">
        <f>Table1_1[[#This Row],[Total_Revenue]]-Table1_1[[#This Row],[Total_Cost]]</f>
        <v>-242431</v>
      </c>
      <c r="T49" s="9">
        <f>(Table1_1[[#This Row],[Total_Profit]]/Table1_1[[#This Row],[Total_Revenue]])</f>
        <v>-0.26437375749862868</v>
      </c>
      <c r="U49" s="5">
        <v>76</v>
      </c>
      <c r="V49" s="6" t="s">
        <v>18</v>
      </c>
      <c r="W49" s="8">
        <v>3.8</v>
      </c>
      <c r="X49" t="str" cm="1">
        <f t="array" ref="X49">_xlfn.IFS(Table1_1[[#This Row],[Customer_Rating]]&lt;3,"Poor",Table1_1[[#This Row],[Customer_Rating]]&lt;4,"Good",Table1_1[[#This Row],[Customer_Rating]]&gt;=4,"Excellent")</f>
        <v>Good</v>
      </c>
    </row>
    <row r="50" spans="1:24" x14ac:dyDescent="0.35">
      <c r="A50" s="2" t="s">
        <v>122</v>
      </c>
      <c r="B50" s="3">
        <v>45827</v>
      </c>
      <c r="C50" s="3" t="str">
        <f>TEXT(Table1_1[[#This Row],[Date]],"YYYY")</f>
        <v>2025</v>
      </c>
      <c r="D50" s="3" t="str">
        <f>TEXT(Table1_1[[#This Row],[Date]],"mmm")</f>
        <v>Jun</v>
      </c>
      <c r="E50" s="2" t="s">
        <v>21</v>
      </c>
      <c r="F50" s="2" t="str">
        <f>INDEX(IndiGo_Flight_Data!$R$2:$R$11,MATCH(Table1_1[[#This Row],[Route]],_xlfn.ANCHORARRAY(IndiGo_Flight_Data!$Q$2),0))</f>
        <v>Bengaluru - Hyderabad</v>
      </c>
      <c r="G50" s="2" t="s">
        <v>43</v>
      </c>
      <c r="H50">
        <v>227</v>
      </c>
      <c r="I50">
        <v>232</v>
      </c>
      <c r="J50">
        <f>Table1_1[[#This Row],[Seat_Capacity]]-Table1_1[[#This Row],[Passengers]]</f>
        <v>5</v>
      </c>
      <c r="K50">
        <v>97.84</v>
      </c>
      <c r="L50" t="str" cm="1">
        <f t="array" ref="L50">_xlfn.IFS(Table1_1[[#This Row],[Load_Factor_%]]&lt;60,"Low",Table1_1[[#This Row],[Load_Factor_%]]&lt;85,"Intermediate",Table1_1[[#This Row],[Load_Factor_%]]&gt;=85,"High")</f>
        <v>High</v>
      </c>
      <c r="M50" s="4">
        <v>1993154</v>
      </c>
      <c r="N50" s="4">
        <v>129958</v>
      </c>
      <c r="O50" s="4">
        <f>SUM(Table1_1[[#This Row],[Ticket_Revenue_INR]:[Cargo_Revenue_INR]])</f>
        <v>2123112</v>
      </c>
      <c r="P50" s="4">
        <v>523530</v>
      </c>
      <c r="Q50" s="4">
        <v>934060</v>
      </c>
      <c r="R50" s="4">
        <f>SUM(Table1_1[[#This Row],[Fuel_Cost_INR]:[Operating_Cost_INR]])</f>
        <v>1457590</v>
      </c>
      <c r="S50" s="4">
        <f>Table1_1[[#This Row],[Total_Revenue]]-Table1_1[[#This Row],[Total_Cost]]</f>
        <v>665522</v>
      </c>
      <c r="T50" s="9">
        <f>(Table1_1[[#This Row],[Total_Profit]]/Table1_1[[#This Row],[Total_Revenue]])</f>
        <v>0.31346532825399698</v>
      </c>
      <c r="U50" s="5">
        <v>59</v>
      </c>
      <c r="V50" s="6" t="s">
        <v>18</v>
      </c>
      <c r="W50" s="8">
        <v>3.7</v>
      </c>
      <c r="X50" t="str" cm="1">
        <f t="array" ref="X50">_xlfn.IFS(Table1_1[[#This Row],[Customer_Rating]]&lt;3,"Poor",Table1_1[[#This Row],[Customer_Rating]]&lt;4,"Good",Table1_1[[#This Row],[Customer_Rating]]&gt;=4,"Excellent")</f>
        <v>Good</v>
      </c>
    </row>
    <row r="51" spans="1:24" x14ac:dyDescent="0.35">
      <c r="A51" s="2" t="s">
        <v>124</v>
      </c>
      <c r="B51" s="3">
        <v>45878</v>
      </c>
      <c r="C51" s="3" t="str">
        <f>TEXT(Table1_1[[#This Row],[Date]],"YYYY")</f>
        <v>2025</v>
      </c>
      <c r="D51" s="3" t="str">
        <f>TEXT(Table1_1[[#This Row],[Date]],"mmm")</f>
        <v>Aug</v>
      </c>
      <c r="E51" s="2" t="s">
        <v>29</v>
      </c>
      <c r="F51" s="2" t="str">
        <f>INDEX(IndiGo_Flight_Data!$R$2:$R$11,MATCH(Table1_1[[#This Row],[Route]],_xlfn.ANCHORARRAY(IndiGo_Flight_Data!$Q$2),0))</f>
        <v>Calacatta - Delhi</v>
      </c>
      <c r="G51" s="2" t="s">
        <v>43</v>
      </c>
      <c r="H51">
        <v>186</v>
      </c>
      <c r="I51">
        <v>232</v>
      </c>
      <c r="J51">
        <f>Table1_1[[#This Row],[Seat_Capacity]]-Table1_1[[#This Row],[Passengers]]</f>
        <v>46</v>
      </c>
      <c r="K51">
        <v>80.17</v>
      </c>
      <c r="L51" t="str" cm="1">
        <f t="array" ref="L51">_xlfn.IFS(Table1_1[[#This Row],[Load_Factor_%]]&lt;60,"Low",Table1_1[[#This Row],[Load_Factor_%]]&lt;85,"Intermediate",Table1_1[[#This Row],[Load_Factor_%]]&gt;=85,"High")</f>
        <v>Intermediate</v>
      </c>
      <c r="M51" s="4">
        <v>1473965</v>
      </c>
      <c r="N51" s="4">
        <v>73423</v>
      </c>
      <c r="O51" s="4">
        <f>SUM(Table1_1[[#This Row],[Ticket_Revenue_INR]:[Cargo_Revenue_INR]])</f>
        <v>1547388</v>
      </c>
      <c r="P51" s="4">
        <v>1009020</v>
      </c>
      <c r="Q51" s="4">
        <v>1205988</v>
      </c>
      <c r="R51" s="4">
        <f>SUM(Table1_1[[#This Row],[Fuel_Cost_INR]:[Operating_Cost_INR]])</f>
        <v>2215008</v>
      </c>
      <c r="S51" s="4">
        <f>Table1_1[[#This Row],[Total_Revenue]]-Table1_1[[#This Row],[Total_Cost]]</f>
        <v>-667620</v>
      </c>
      <c r="T51" s="9">
        <f>(Table1_1[[#This Row],[Total_Profit]]/Table1_1[[#This Row],[Total_Revenue]])</f>
        <v>-0.43144964288206966</v>
      </c>
      <c r="U51" s="5">
        <v>32</v>
      </c>
      <c r="V51" s="6" t="s">
        <v>18</v>
      </c>
      <c r="W51" s="8">
        <v>4.4000000000000004</v>
      </c>
      <c r="X51" t="str" cm="1">
        <f t="array" ref="X51">_xlfn.IFS(Table1_1[[#This Row],[Customer_Rating]]&lt;3,"Poor",Table1_1[[#This Row],[Customer_Rating]]&lt;4,"Good",Table1_1[[#This Row],[Customer_Rating]]&gt;=4,"Excellent")</f>
        <v>Excellent</v>
      </c>
    </row>
    <row r="52" spans="1:24" x14ac:dyDescent="0.35">
      <c r="A52" s="2" t="s">
        <v>126</v>
      </c>
      <c r="B52" s="3">
        <v>45873</v>
      </c>
      <c r="C52" s="3" t="str">
        <f>TEXT(Table1_1[[#This Row],[Date]],"YYYY")</f>
        <v>2025</v>
      </c>
      <c r="D52" s="3" t="str">
        <f>TEXT(Table1_1[[#This Row],[Date]],"mmm")</f>
        <v>Aug</v>
      </c>
      <c r="E52" s="2" t="s">
        <v>117</v>
      </c>
      <c r="F52" s="2" t="str">
        <f>INDEX(IndiGo_Flight_Data!$R$2:$R$11,MATCH(Table1_1[[#This Row],[Route]],_xlfn.ANCHORARRAY(IndiGo_Flight_Data!$Q$2),0))</f>
        <v>Bengaluru - Calacatta</v>
      </c>
      <c r="G52" s="2" t="s">
        <v>43</v>
      </c>
      <c r="H52">
        <v>197</v>
      </c>
      <c r="I52">
        <v>232</v>
      </c>
      <c r="J52">
        <f>Table1_1[[#This Row],[Seat_Capacity]]-Table1_1[[#This Row],[Passengers]]</f>
        <v>35</v>
      </c>
      <c r="K52">
        <v>84.91</v>
      </c>
      <c r="L52" t="str" cm="1">
        <f t="array" ref="L52">_xlfn.IFS(Table1_1[[#This Row],[Load_Factor_%]]&lt;60,"Low",Table1_1[[#This Row],[Load_Factor_%]]&lt;85,"Intermediate",Table1_1[[#This Row],[Load_Factor_%]]&gt;=85,"High")</f>
        <v>Intermediate</v>
      </c>
      <c r="M52" s="4">
        <v>1287910</v>
      </c>
      <c r="N52" s="4">
        <v>79947</v>
      </c>
      <c r="O52" s="4">
        <f>SUM(Table1_1[[#This Row],[Ticket_Revenue_INR]:[Cargo_Revenue_INR]])</f>
        <v>1367857</v>
      </c>
      <c r="P52" s="4">
        <v>305629</v>
      </c>
      <c r="Q52" s="4">
        <v>485187</v>
      </c>
      <c r="R52" s="4">
        <f>SUM(Table1_1[[#This Row],[Fuel_Cost_INR]:[Operating_Cost_INR]])</f>
        <v>790816</v>
      </c>
      <c r="S52" s="4">
        <f>Table1_1[[#This Row],[Total_Revenue]]-Table1_1[[#This Row],[Total_Cost]]</f>
        <v>577041</v>
      </c>
      <c r="T52" s="9">
        <f>(Table1_1[[#This Row],[Total_Profit]]/Table1_1[[#This Row],[Total_Revenue]])</f>
        <v>0.42185769418879315</v>
      </c>
      <c r="U52" s="5">
        <v>11</v>
      </c>
      <c r="V52" s="6" t="s">
        <v>33</v>
      </c>
      <c r="W52" s="8">
        <v>4.2</v>
      </c>
      <c r="X52" t="str" cm="1">
        <f t="array" ref="X52">_xlfn.IFS(Table1_1[[#This Row],[Customer_Rating]]&lt;3,"Poor",Table1_1[[#This Row],[Customer_Rating]]&lt;4,"Good",Table1_1[[#This Row],[Customer_Rating]]&gt;=4,"Excellent")</f>
        <v>Excellent</v>
      </c>
    </row>
    <row r="53" spans="1:24" x14ac:dyDescent="0.35">
      <c r="A53" s="2" t="s">
        <v>128</v>
      </c>
      <c r="B53" s="3">
        <v>45811</v>
      </c>
      <c r="C53" s="3" t="str">
        <f>TEXT(Table1_1[[#This Row],[Date]],"YYYY")</f>
        <v>2025</v>
      </c>
      <c r="D53" s="3" t="str">
        <f>TEXT(Table1_1[[#This Row],[Date]],"mmm")</f>
        <v>Jun</v>
      </c>
      <c r="E53" s="2" t="s">
        <v>117</v>
      </c>
      <c r="F53" s="2" t="str">
        <f>INDEX(IndiGo_Flight_Data!$R$2:$R$11,MATCH(Table1_1[[#This Row],[Route]],_xlfn.ANCHORARRAY(IndiGo_Flight_Data!$Q$2),0))</f>
        <v>Bengaluru - Calacatta</v>
      </c>
      <c r="G53" s="2" t="s">
        <v>43</v>
      </c>
      <c r="H53">
        <v>156</v>
      </c>
      <c r="I53">
        <v>232</v>
      </c>
      <c r="J53">
        <f>Table1_1[[#This Row],[Seat_Capacity]]-Table1_1[[#This Row],[Passengers]]</f>
        <v>76</v>
      </c>
      <c r="K53">
        <v>67.239999999999995</v>
      </c>
      <c r="L53" t="str" cm="1">
        <f t="array" ref="L53">_xlfn.IFS(Table1_1[[#This Row],[Load_Factor_%]]&lt;60,"Low",Table1_1[[#This Row],[Load_Factor_%]]&lt;85,"Intermediate",Table1_1[[#This Row],[Load_Factor_%]]&gt;=85,"High")</f>
        <v>Intermediate</v>
      </c>
      <c r="M53" s="4">
        <v>725600</v>
      </c>
      <c r="N53" s="4">
        <v>138307</v>
      </c>
      <c r="O53" s="4">
        <f>SUM(Table1_1[[#This Row],[Ticket_Revenue_INR]:[Cargo_Revenue_INR]])</f>
        <v>863907</v>
      </c>
      <c r="P53" s="4">
        <v>587180</v>
      </c>
      <c r="Q53" s="4">
        <v>731686</v>
      </c>
      <c r="R53" s="4">
        <f>SUM(Table1_1[[#This Row],[Fuel_Cost_INR]:[Operating_Cost_INR]])</f>
        <v>1318866</v>
      </c>
      <c r="S53" s="4">
        <f>Table1_1[[#This Row],[Total_Revenue]]-Table1_1[[#This Row],[Total_Cost]]</f>
        <v>-454959</v>
      </c>
      <c r="T53" s="9">
        <f>(Table1_1[[#This Row],[Total_Profit]]/Table1_1[[#This Row],[Total_Revenue]])</f>
        <v>-0.52662960249193491</v>
      </c>
      <c r="U53" s="5">
        <v>83</v>
      </c>
      <c r="V53" s="6" t="s">
        <v>18</v>
      </c>
      <c r="W53" s="8">
        <v>4</v>
      </c>
      <c r="X53" t="str" cm="1">
        <f t="array" ref="X53">_xlfn.IFS(Table1_1[[#This Row],[Customer_Rating]]&lt;3,"Poor",Table1_1[[#This Row],[Customer_Rating]]&lt;4,"Good",Table1_1[[#This Row],[Customer_Rating]]&gt;=4,"Excellent")</f>
        <v>Excellent</v>
      </c>
    </row>
    <row r="54" spans="1:24" x14ac:dyDescent="0.35">
      <c r="A54" s="2" t="s">
        <v>130</v>
      </c>
      <c r="B54" s="3">
        <v>45839</v>
      </c>
      <c r="C54" s="3" t="str">
        <f>TEXT(Table1_1[[#This Row],[Date]],"YYYY")</f>
        <v>2025</v>
      </c>
      <c r="D54" s="3" t="str">
        <f>TEXT(Table1_1[[#This Row],[Date]],"mmm")</f>
        <v>Jul</v>
      </c>
      <c r="E54" s="2" t="s">
        <v>21</v>
      </c>
      <c r="F54" s="2" t="str">
        <f>INDEX(IndiGo_Flight_Data!$R$2:$R$11,MATCH(Table1_1[[#This Row],[Route]],_xlfn.ANCHORARRAY(IndiGo_Flight_Data!$Q$2),0))</f>
        <v>Bengaluru - Hyderabad</v>
      </c>
      <c r="G54" s="2" t="s">
        <v>17</v>
      </c>
      <c r="H54">
        <v>59</v>
      </c>
      <c r="I54">
        <v>78</v>
      </c>
      <c r="J54">
        <f>Table1_1[[#This Row],[Seat_Capacity]]-Table1_1[[#This Row],[Passengers]]</f>
        <v>19</v>
      </c>
      <c r="K54">
        <v>75.64</v>
      </c>
      <c r="L54" t="str" cm="1">
        <f t="array" ref="L54">_xlfn.IFS(Table1_1[[#This Row],[Load_Factor_%]]&lt;60,"Low",Table1_1[[#This Row],[Load_Factor_%]]&lt;85,"Intermediate",Table1_1[[#This Row],[Load_Factor_%]]&gt;=85,"High")</f>
        <v>Intermediate</v>
      </c>
      <c r="M54" s="4">
        <v>395404</v>
      </c>
      <c r="N54" s="4">
        <v>47970</v>
      </c>
      <c r="O54" s="4">
        <f>SUM(Table1_1[[#This Row],[Ticket_Revenue_INR]:[Cargo_Revenue_INR]])</f>
        <v>443374</v>
      </c>
      <c r="P54" s="4">
        <v>517013</v>
      </c>
      <c r="Q54" s="4">
        <v>913391</v>
      </c>
      <c r="R54" s="4">
        <f>SUM(Table1_1[[#This Row],[Fuel_Cost_INR]:[Operating_Cost_INR]])</f>
        <v>1430404</v>
      </c>
      <c r="S54" s="4">
        <f>Table1_1[[#This Row],[Total_Revenue]]-Table1_1[[#This Row],[Total_Cost]]</f>
        <v>-987030</v>
      </c>
      <c r="T54" s="9">
        <f>(Table1_1[[#This Row],[Total_Profit]]/Table1_1[[#This Row],[Total_Revenue]])</f>
        <v>-2.2261792527302009</v>
      </c>
      <c r="U54" s="5">
        <v>39</v>
      </c>
      <c r="V54" s="6" t="s">
        <v>18</v>
      </c>
      <c r="W54" s="8">
        <v>3.7</v>
      </c>
      <c r="X54" t="str" cm="1">
        <f t="array" ref="X54">_xlfn.IFS(Table1_1[[#This Row],[Customer_Rating]]&lt;3,"Poor",Table1_1[[#This Row],[Customer_Rating]]&lt;4,"Good",Table1_1[[#This Row],[Customer_Rating]]&gt;=4,"Excellent")</f>
        <v>Good</v>
      </c>
    </row>
    <row r="55" spans="1:24" x14ac:dyDescent="0.35">
      <c r="A55" s="2" t="s">
        <v>131</v>
      </c>
      <c r="B55" s="3">
        <v>45849</v>
      </c>
      <c r="C55" s="3" t="str">
        <f>TEXT(Table1_1[[#This Row],[Date]],"YYYY")</f>
        <v>2025</v>
      </c>
      <c r="D55" s="3" t="str">
        <f>TEXT(Table1_1[[#This Row],[Date]],"mmm")</f>
        <v>Jul</v>
      </c>
      <c r="E55" s="2" t="s">
        <v>21</v>
      </c>
      <c r="F55" s="2" t="str">
        <f>INDEX(IndiGo_Flight_Data!$R$2:$R$11,MATCH(Table1_1[[#This Row],[Route]],_xlfn.ANCHORARRAY(IndiGo_Flight_Data!$Q$2),0))</f>
        <v>Bengaluru - Hyderabad</v>
      </c>
      <c r="G55" s="2" t="s">
        <v>24</v>
      </c>
      <c r="H55">
        <v>151</v>
      </c>
      <c r="I55">
        <v>180</v>
      </c>
      <c r="J55">
        <f>Table1_1[[#This Row],[Seat_Capacity]]-Table1_1[[#This Row],[Passengers]]</f>
        <v>29</v>
      </c>
      <c r="K55">
        <v>83.89</v>
      </c>
      <c r="L55" t="str" cm="1">
        <f t="array" ref="L55">_xlfn.IFS(Table1_1[[#This Row],[Load_Factor_%]]&lt;60,"Low",Table1_1[[#This Row],[Load_Factor_%]]&lt;85,"Intermediate",Table1_1[[#This Row],[Load_Factor_%]]&gt;=85,"High")</f>
        <v>Intermediate</v>
      </c>
      <c r="M55" s="4">
        <v>931267</v>
      </c>
      <c r="N55" s="4">
        <v>95933</v>
      </c>
      <c r="O55" s="4">
        <f>SUM(Table1_1[[#This Row],[Ticket_Revenue_INR]:[Cargo_Revenue_INR]])</f>
        <v>1027200</v>
      </c>
      <c r="P55" s="4">
        <v>978971</v>
      </c>
      <c r="Q55" s="4">
        <v>1487973</v>
      </c>
      <c r="R55" s="4">
        <f>SUM(Table1_1[[#This Row],[Fuel_Cost_INR]:[Operating_Cost_INR]])</f>
        <v>2466944</v>
      </c>
      <c r="S55" s="4">
        <f>Table1_1[[#This Row],[Total_Revenue]]-Table1_1[[#This Row],[Total_Cost]]</f>
        <v>-1439744</v>
      </c>
      <c r="T55" s="9">
        <f>(Table1_1[[#This Row],[Total_Profit]]/Table1_1[[#This Row],[Total_Revenue]])</f>
        <v>-1.4016199376947041</v>
      </c>
      <c r="U55" s="5">
        <v>69</v>
      </c>
      <c r="V55" s="6" t="s">
        <v>18</v>
      </c>
      <c r="W55" s="8">
        <v>4.3</v>
      </c>
      <c r="X55" t="str" cm="1">
        <f t="array" ref="X55">_xlfn.IFS(Table1_1[[#This Row],[Customer_Rating]]&lt;3,"Poor",Table1_1[[#This Row],[Customer_Rating]]&lt;4,"Good",Table1_1[[#This Row],[Customer_Rating]]&gt;=4,"Excellent")</f>
        <v>Excellent</v>
      </c>
    </row>
    <row r="56" spans="1:24" x14ac:dyDescent="0.35">
      <c r="A56" s="2" t="s">
        <v>133</v>
      </c>
      <c r="B56" s="3">
        <v>45980</v>
      </c>
      <c r="C56" s="3" t="str">
        <f>TEXT(Table1_1[[#This Row],[Date]],"YYYY")</f>
        <v>2025</v>
      </c>
      <c r="D56" s="3" t="str">
        <f>TEXT(Table1_1[[#This Row],[Date]],"mmm")</f>
        <v>Nov</v>
      </c>
      <c r="E56" s="2" t="s">
        <v>76</v>
      </c>
      <c r="F56" s="2" t="str">
        <f>INDEX(IndiGo_Flight_Data!$R$2:$R$11,MATCH(Table1_1[[#This Row],[Route]],_xlfn.ANCHORARRAY(IndiGo_Flight_Data!$Q$2),0))</f>
        <v>Madras - Delhi</v>
      </c>
      <c r="G56" s="2" t="s">
        <v>17</v>
      </c>
      <c r="H56">
        <v>67</v>
      </c>
      <c r="I56">
        <v>78</v>
      </c>
      <c r="J56">
        <f>Table1_1[[#This Row],[Seat_Capacity]]-Table1_1[[#This Row],[Passengers]]</f>
        <v>11</v>
      </c>
      <c r="K56">
        <v>85.9</v>
      </c>
      <c r="L56" t="str" cm="1">
        <f t="array" ref="L56">_xlfn.IFS(Table1_1[[#This Row],[Load_Factor_%]]&lt;60,"Low",Table1_1[[#This Row],[Load_Factor_%]]&lt;85,"Intermediate",Table1_1[[#This Row],[Load_Factor_%]]&gt;=85,"High")</f>
        <v>High</v>
      </c>
      <c r="M56" s="4">
        <v>436243</v>
      </c>
      <c r="N56" s="4">
        <v>146071</v>
      </c>
      <c r="O56" s="4">
        <f>SUM(Table1_1[[#This Row],[Ticket_Revenue_INR]:[Cargo_Revenue_INR]])</f>
        <v>582314</v>
      </c>
      <c r="P56" s="4">
        <v>293106</v>
      </c>
      <c r="Q56" s="4">
        <v>604765</v>
      </c>
      <c r="R56" s="4">
        <f>SUM(Table1_1[[#This Row],[Fuel_Cost_INR]:[Operating_Cost_INR]])</f>
        <v>897871</v>
      </c>
      <c r="S56" s="4">
        <f>Table1_1[[#This Row],[Total_Revenue]]-Table1_1[[#This Row],[Total_Cost]]</f>
        <v>-315557</v>
      </c>
      <c r="T56" s="9">
        <f>(Table1_1[[#This Row],[Total_Profit]]/Table1_1[[#This Row],[Total_Revenue]])</f>
        <v>-0.5419017918167861</v>
      </c>
      <c r="U56" s="5">
        <v>2</v>
      </c>
      <c r="V56" s="6" t="s">
        <v>33</v>
      </c>
      <c r="W56" s="8">
        <v>4.7</v>
      </c>
      <c r="X56" t="str" cm="1">
        <f t="array" ref="X56">_xlfn.IFS(Table1_1[[#This Row],[Customer_Rating]]&lt;3,"Poor",Table1_1[[#This Row],[Customer_Rating]]&lt;4,"Good",Table1_1[[#This Row],[Customer_Rating]]&gt;=4,"Excellent")</f>
        <v>Excellent</v>
      </c>
    </row>
    <row r="57" spans="1:24" x14ac:dyDescent="0.35">
      <c r="A57" s="2" t="s">
        <v>135</v>
      </c>
      <c r="B57" s="3">
        <v>45922</v>
      </c>
      <c r="C57" s="3" t="str">
        <f>TEXT(Table1_1[[#This Row],[Date]],"YYYY")</f>
        <v>2025</v>
      </c>
      <c r="D57" s="3" t="str">
        <f>TEXT(Table1_1[[#This Row],[Date]],"mmm")</f>
        <v>Sep</v>
      </c>
      <c r="E57" s="2" t="s">
        <v>59</v>
      </c>
      <c r="F57" s="2" t="str">
        <f>INDEX(IndiGo_Flight_Data!$R$2:$R$11,MATCH(Table1_1[[#This Row],[Route]],_xlfn.ANCHORARRAY(IndiGo_Flight_Data!$Q$2),0))</f>
        <v>Bengaluru - Bombay</v>
      </c>
      <c r="G57" s="2" t="s">
        <v>43</v>
      </c>
      <c r="H57">
        <v>216</v>
      </c>
      <c r="I57">
        <v>232</v>
      </c>
      <c r="J57">
        <f>Table1_1[[#This Row],[Seat_Capacity]]-Table1_1[[#This Row],[Passengers]]</f>
        <v>16</v>
      </c>
      <c r="K57">
        <v>93.1</v>
      </c>
      <c r="L57" t="str" cm="1">
        <f t="array" ref="L57">_xlfn.IFS(Table1_1[[#This Row],[Load_Factor_%]]&lt;60,"Low",Table1_1[[#This Row],[Load_Factor_%]]&lt;85,"Intermediate",Table1_1[[#This Row],[Load_Factor_%]]&gt;=85,"High")</f>
        <v>High</v>
      </c>
      <c r="M57" s="4">
        <v>1528461</v>
      </c>
      <c r="N57" s="4">
        <v>144618</v>
      </c>
      <c r="O57" s="4">
        <f>SUM(Table1_1[[#This Row],[Ticket_Revenue_INR]:[Cargo_Revenue_INR]])</f>
        <v>1673079</v>
      </c>
      <c r="P57" s="4">
        <v>327137</v>
      </c>
      <c r="Q57" s="4">
        <v>960859</v>
      </c>
      <c r="R57" s="4">
        <f>SUM(Table1_1[[#This Row],[Fuel_Cost_INR]:[Operating_Cost_INR]])</f>
        <v>1287996</v>
      </c>
      <c r="S57" s="4">
        <f>Table1_1[[#This Row],[Total_Revenue]]-Table1_1[[#This Row],[Total_Cost]]</f>
        <v>385083</v>
      </c>
      <c r="T57" s="9">
        <f>(Table1_1[[#This Row],[Total_Profit]]/Table1_1[[#This Row],[Total_Revenue]])</f>
        <v>0.23016426600298012</v>
      </c>
      <c r="U57" s="5">
        <v>5</v>
      </c>
      <c r="V57" s="6" t="s">
        <v>33</v>
      </c>
      <c r="W57" s="8">
        <v>4.5</v>
      </c>
      <c r="X57" t="str" cm="1">
        <f t="array" ref="X57">_xlfn.IFS(Table1_1[[#This Row],[Customer_Rating]]&lt;3,"Poor",Table1_1[[#This Row],[Customer_Rating]]&lt;4,"Good",Table1_1[[#This Row],[Customer_Rating]]&gt;=4,"Excellent")</f>
        <v>Excellent</v>
      </c>
    </row>
    <row r="58" spans="1:24" x14ac:dyDescent="0.35">
      <c r="A58" s="2" t="s">
        <v>137</v>
      </c>
      <c r="B58" s="3">
        <v>45875</v>
      </c>
      <c r="C58" s="3" t="str">
        <f>TEXT(Table1_1[[#This Row],[Date]],"YYYY")</f>
        <v>2025</v>
      </c>
      <c r="D58" s="3" t="str">
        <f>TEXT(Table1_1[[#This Row],[Date]],"mmm")</f>
        <v>Aug</v>
      </c>
      <c r="E58" s="2" t="s">
        <v>76</v>
      </c>
      <c r="F58" s="2" t="str">
        <f>INDEX(IndiGo_Flight_Data!$R$2:$R$11,MATCH(Table1_1[[#This Row],[Route]],_xlfn.ANCHORARRAY(IndiGo_Flight_Data!$Q$2),0))</f>
        <v>Madras - Delhi</v>
      </c>
      <c r="G58" s="2" t="s">
        <v>43</v>
      </c>
      <c r="H58">
        <v>141</v>
      </c>
      <c r="I58">
        <v>232</v>
      </c>
      <c r="J58">
        <f>Table1_1[[#This Row],[Seat_Capacity]]-Table1_1[[#This Row],[Passengers]]</f>
        <v>91</v>
      </c>
      <c r="K58">
        <v>60.78</v>
      </c>
      <c r="L58" t="str" cm="1">
        <f t="array" ref="L58">_xlfn.IFS(Table1_1[[#This Row],[Load_Factor_%]]&lt;60,"Low",Table1_1[[#This Row],[Load_Factor_%]]&lt;85,"Intermediate",Table1_1[[#This Row],[Load_Factor_%]]&gt;=85,"High")</f>
        <v>Intermediate</v>
      </c>
      <c r="M58" s="4">
        <v>1250365</v>
      </c>
      <c r="N58" s="4">
        <v>104138</v>
      </c>
      <c r="O58" s="4">
        <f>SUM(Table1_1[[#This Row],[Ticket_Revenue_INR]:[Cargo_Revenue_INR]])</f>
        <v>1354503</v>
      </c>
      <c r="P58" s="4">
        <v>795253</v>
      </c>
      <c r="Q58" s="4">
        <v>1168886</v>
      </c>
      <c r="R58" s="4">
        <f>SUM(Table1_1[[#This Row],[Fuel_Cost_INR]:[Operating_Cost_INR]])</f>
        <v>1964139</v>
      </c>
      <c r="S58" s="4">
        <f>Table1_1[[#This Row],[Total_Revenue]]-Table1_1[[#This Row],[Total_Cost]]</f>
        <v>-609636</v>
      </c>
      <c r="T58" s="9">
        <f>(Table1_1[[#This Row],[Total_Profit]]/Table1_1[[#This Row],[Total_Revenue]])</f>
        <v>-0.45008095220165623</v>
      </c>
      <c r="U58" s="5">
        <v>46</v>
      </c>
      <c r="V58" s="6" t="s">
        <v>18</v>
      </c>
      <c r="W58" s="8">
        <v>4.5</v>
      </c>
      <c r="X58" t="str" cm="1">
        <f t="array" ref="X58">_xlfn.IFS(Table1_1[[#This Row],[Customer_Rating]]&lt;3,"Poor",Table1_1[[#This Row],[Customer_Rating]]&lt;4,"Good",Table1_1[[#This Row],[Customer_Rating]]&gt;=4,"Excellent")</f>
        <v>Excellent</v>
      </c>
    </row>
    <row r="59" spans="1:24" x14ac:dyDescent="0.35">
      <c r="A59" s="2" t="s">
        <v>139</v>
      </c>
      <c r="B59" s="3">
        <v>45916</v>
      </c>
      <c r="C59" s="3" t="str">
        <f>TEXT(Table1_1[[#This Row],[Date]],"YYYY")</f>
        <v>2025</v>
      </c>
      <c r="D59" s="3" t="str">
        <f>TEXT(Table1_1[[#This Row],[Date]],"mmm")</f>
        <v>Sep</v>
      </c>
      <c r="E59" s="2" t="s">
        <v>39</v>
      </c>
      <c r="F59" s="2" t="str">
        <f>INDEX(IndiGo_Flight_Data!$R$2:$R$11,MATCH(Table1_1[[#This Row],[Route]],_xlfn.ANCHORARRAY(IndiGo_Flight_Data!$Q$2),0))</f>
        <v>Bengaluru - Delhi</v>
      </c>
      <c r="G59" s="2" t="s">
        <v>24</v>
      </c>
      <c r="H59">
        <v>168</v>
      </c>
      <c r="I59">
        <v>180</v>
      </c>
      <c r="J59">
        <f>Table1_1[[#This Row],[Seat_Capacity]]-Table1_1[[#This Row],[Passengers]]</f>
        <v>12</v>
      </c>
      <c r="K59">
        <v>93.33</v>
      </c>
      <c r="L59" t="str" cm="1">
        <f t="array" ref="L59">_xlfn.IFS(Table1_1[[#This Row],[Load_Factor_%]]&lt;60,"Low",Table1_1[[#This Row],[Load_Factor_%]]&lt;85,"Intermediate",Table1_1[[#This Row],[Load_Factor_%]]&gt;=85,"High")</f>
        <v>High</v>
      </c>
      <c r="M59" s="4">
        <v>990095</v>
      </c>
      <c r="N59" s="4">
        <v>68606</v>
      </c>
      <c r="O59" s="4">
        <f>SUM(Table1_1[[#This Row],[Ticket_Revenue_INR]:[Cargo_Revenue_INR]])</f>
        <v>1058701</v>
      </c>
      <c r="P59" s="4">
        <v>1178868</v>
      </c>
      <c r="Q59" s="4">
        <v>1755157</v>
      </c>
      <c r="R59" s="4">
        <f>SUM(Table1_1[[#This Row],[Fuel_Cost_INR]:[Operating_Cost_INR]])</f>
        <v>2934025</v>
      </c>
      <c r="S59" s="4">
        <f>Table1_1[[#This Row],[Total_Revenue]]-Table1_1[[#This Row],[Total_Cost]]</f>
        <v>-1875324</v>
      </c>
      <c r="T59" s="9">
        <f>(Table1_1[[#This Row],[Total_Profit]]/Table1_1[[#This Row],[Total_Revenue]])</f>
        <v>-1.7713443172340444</v>
      </c>
      <c r="U59" s="5">
        <v>28</v>
      </c>
      <c r="V59" s="6" t="s">
        <v>18</v>
      </c>
      <c r="W59" s="8">
        <v>4.8</v>
      </c>
      <c r="X59" t="str" cm="1">
        <f t="array" ref="X59">_xlfn.IFS(Table1_1[[#This Row],[Customer_Rating]]&lt;3,"Poor",Table1_1[[#This Row],[Customer_Rating]]&lt;4,"Good",Table1_1[[#This Row],[Customer_Rating]]&gt;=4,"Excellent")</f>
        <v>Excellent</v>
      </c>
    </row>
    <row r="60" spans="1:24" x14ac:dyDescent="0.35">
      <c r="A60" s="2" t="s">
        <v>141</v>
      </c>
      <c r="B60" s="3">
        <v>45775</v>
      </c>
      <c r="C60" s="3" t="str">
        <f>TEXT(Table1_1[[#This Row],[Date]],"YYYY")</f>
        <v>2025</v>
      </c>
      <c r="D60" s="3" t="str">
        <f>TEXT(Table1_1[[#This Row],[Date]],"mmm")</f>
        <v>Apr</v>
      </c>
      <c r="E60" s="2" t="s">
        <v>36</v>
      </c>
      <c r="F60" s="2" t="str">
        <f>INDEX(IndiGo_Flight_Data!$R$2:$R$11,MATCH(Table1_1[[#This Row],[Route]],_xlfn.ANCHORARRAY(IndiGo_Flight_Data!$Q$2),0))</f>
        <v>Delhi - Bombay</v>
      </c>
      <c r="G60" s="2" t="s">
        <v>24</v>
      </c>
      <c r="H60">
        <v>151</v>
      </c>
      <c r="I60">
        <v>180</v>
      </c>
      <c r="J60">
        <f>Table1_1[[#This Row],[Seat_Capacity]]-Table1_1[[#This Row],[Passengers]]</f>
        <v>29</v>
      </c>
      <c r="K60">
        <v>83.89</v>
      </c>
      <c r="L60" t="str" cm="1">
        <f t="array" ref="L60">_xlfn.IFS(Table1_1[[#This Row],[Load_Factor_%]]&lt;60,"Low",Table1_1[[#This Row],[Load_Factor_%]]&lt;85,"Intermediate",Table1_1[[#This Row],[Load_Factor_%]]&gt;=85,"High")</f>
        <v>Intermediate</v>
      </c>
      <c r="M60" s="4">
        <v>570344</v>
      </c>
      <c r="N60" s="4">
        <v>70123</v>
      </c>
      <c r="O60" s="4">
        <f>SUM(Table1_1[[#This Row],[Ticket_Revenue_INR]:[Cargo_Revenue_INR]])</f>
        <v>640467</v>
      </c>
      <c r="P60" s="4">
        <v>758879</v>
      </c>
      <c r="Q60" s="4">
        <v>1193337</v>
      </c>
      <c r="R60" s="4">
        <f>SUM(Table1_1[[#This Row],[Fuel_Cost_INR]:[Operating_Cost_INR]])</f>
        <v>1952216</v>
      </c>
      <c r="S60" s="4">
        <f>Table1_1[[#This Row],[Total_Revenue]]-Table1_1[[#This Row],[Total_Cost]]</f>
        <v>-1311749</v>
      </c>
      <c r="T60" s="9">
        <f>(Table1_1[[#This Row],[Total_Profit]]/Table1_1[[#This Row],[Total_Revenue]])</f>
        <v>-2.0481133298046581</v>
      </c>
      <c r="U60" s="5">
        <v>48</v>
      </c>
      <c r="V60" s="6" t="s">
        <v>18</v>
      </c>
      <c r="W60" s="8">
        <v>3.3</v>
      </c>
      <c r="X60" t="str" cm="1">
        <f t="array" ref="X60">_xlfn.IFS(Table1_1[[#This Row],[Customer_Rating]]&lt;3,"Poor",Table1_1[[#This Row],[Customer_Rating]]&lt;4,"Good",Table1_1[[#This Row],[Customer_Rating]]&gt;=4,"Excellent")</f>
        <v>Good</v>
      </c>
    </row>
    <row r="61" spans="1:24" x14ac:dyDescent="0.35">
      <c r="A61" s="2" t="s">
        <v>142</v>
      </c>
      <c r="B61" s="3">
        <v>45866</v>
      </c>
      <c r="C61" s="3" t="str">
        <f>TEXT(Table1_1[[#This Row],[Date]],"YYYY")</f>
        <v>2025</v>
      </c>
      <c r="D61" s="3" t="str">
        <f>TEXT(Table1_1[[#This Row],[Date]],"mmm")</f>
        <v>Jul</v>
      </c>
      <c r="E61" s="2" t="s">
        <v>32</v>
      </c>
      <c r="F61" s="2" t="str">
        <f>INDEX(IndiGo_Flight_Data!$R$2:$R$11,MATCH(Table1_1[[#This Row],[Route]],_xlfn.ANCHORARRAY(IndiGo_Flight_Data!$Q$2),0))</f>
        <v>Bengaluru - Cochin</v>
      </c>
      <c r="G61" s="2" t="s">
        <v>17</v>
      </c>
      <c r="H61">
        <v>75</v>
      </c>
      <c r="I61">
        <v>78</v>
      </c>
      <c r="J61">
        <f>Table1_1[[#This Row],[Seat_Capacity]]-Table1_1[[#This Row],[Passengers]]</f>
        <v>3</v>
      </c>
      <c r="K61">
        <v>96.15</v>
      </c>
      <c r="L61" t="str" cm="1">
        <f t="array" ref="L61">_xlfn.IFS(Table1_1[[#This Row],[Load_Factor_%]]&lt;60,"Low",Table1_1[[#This Row],[Load_Factor_%]]&lt;85,"Intermediate",Table1_1[[#This Row],[Load_Factor_%]]&gt;=85,"High")</f>
        <v>High</v>
      </c>
      <c r="M61" s="4">
        <v>585532</v>
      </c>
      <c r="N61" s="4">
        <v>16692</v>
      </c>
      <c r="O61" s="4">
        <f>SUM(Table1_1[[#This Row],[Ticket_Revenue_INR]:[Cargo_Revenue_INR]])</f>
        <v>602224</v>
      </c>
      <c r="P61" s="4">
        <v>568039</v>
      </c>
      <c r="Q61" s="4">
        <v>1044520</v>
      </c>
      <c r="R61" s="4">
        <f>SUM(Table1_1[[#This Row],[Fuel_Cost_INR]:[Operating_Cost_INR]])</f>
        <v>1612559</v>
      </c>
      <c r="S61" s="4">
        <f>Table1_1[[#This Row],[Total_Revenue]]-Table1_1[[#This Row],[Total_Cost]]</f>
        <v>-1010335</v>
      </c>
      <c r="T61" s="9">
        <f>(Table1_1[[#This Row],[Total_Profit]]/Table1_1[[#This Row],[Total_Revenue]])</f>
        <v>-1.6776730917399505</v>
      </c>
      <c r="U61" s="5">
        <v>76</v>
      </c>
      <c r="V61" s="6" t="s">
        <v>18</v>
      </c>
      <c r="W61" s="8">
        <v>4.5</v>
      </c>
      <c r="X61" t="str" cm="1">
        <f t="array" ref="X61">_xlfn.IFS(Table1_1[[#This Row],[Customer_Rating]]&lt;3,"Poor",Table1_1[[#This Row],[Customer_Rating]]&lt;4,"Good",Table1_1[[#This Row],[Customer_Rating]]&gt;=4,"Excellent")</f>
        <v>Excellent</v>
      </c>
    </row>
    <row r="62" spans="1:24" x14ac:dyDescent="0.35">
      <c r="A62" s="2" t="s">
        <v>144</v>
      </c>
      <c r="B62" s="3">
        <v>45971</v>
      </c>
      <c r="C62" s="3" t="str">
        <f>TEXT(Table1_1[[#This Row],[Date]],"YYYY")</f>
        <v>2025</v>
      </c>
      <c r="D62" s="3" t="str">
        <f>TEXT(Table1_1[[#This Row],[Date]],"mmm")</f>
        <v>Nov</v>
      </c>
      <c r="E62" s="2" t="s">
        <v>39</v>
      </c>
      <c r="F62" s="2" t="str">
        <f>INDEX(IndiGo_Flight_Data!$R$2:$R$11,MATCH(Table1_1[[#This Row],[Route]],_xlfn.ANCHORARRAY(IndiGo_Flight_Data!$Q$2),0))</f>
        <v>Bengaluru - Delhi</v>
      </c>
      <c r="G62" s="2" t="s">
        <v>17</v>
      </c>
      <c r="H62">
        <v>75</v>
      </c>
      <c r="I62">
        <v>78</v>
      </c>
      <c r="J62">
        <f>Table1_1[[#This Row],[Seat_Capacity]]-Table1_1[[#This Row],[Passengers]]</f>
        <v>3</v>
      </c>
      <c r="K62">
        <v>96.15</v>
      </c>
      <c r="L62" t="str" cm="1">
        <f t="array" ref="L62">_xlfn.IFS(Table1_1[[#This Row],[Load_Factor_%]]&lt;60,"Low",Table1_1[[#This Row],[Load_Factor_%]]&lt;85,"Intermediate",Table1_1[[#This Row],[Load_Factor_%]]&gt;=85,"High")</f>
        <v>High</v>
      </c>
      <c r="M62" s="4">
        <v>308922</v>
      </c>
      <c r="N62" s="4">
        <v>94806</v>
      </c>
      <c r="O62" s="4">
        <f>SUM(Table1_1[[#This Row],[Ticket_Revenue_INR]:[Cargo_Revenue_INR]])</f>
        <v>403728</v>
      </c>
      <c r="P62" s="4">
        <v>922052</v>
      </c>
      <c r="Q62" s="4">
        <v>1507417</v>
      </c>
      <c r="R62" s="4">
        <f>SUM(Table1_1[[#This Row],[Fuel_Cost_INR]:[Operating_Cost_INR]])</f>
        <v>2429469</v>
      </c>
      <c r="S62" s="4">
        <f>Table1_1[[#This Row],[Total_Revenue]]-Table1_1[[#This Row],[Total_Cost]]</f>
        <v>-2025741</v>
      </c>
      <c r="T62" s="9">
        <f>(Table1_1[[#This Row],[Total_Profit]]/Table1_1[[#This Row],[Total_Revenue]])</f>
        <v>-5.0175885744857922</v>
      </c>
      <c r="U62" s="5">
        <v>75</v>
      </c>
      <c r="V62" s="6" t="s">
        <v>18</v>
      </c>
      <c r="W62" s="8">
        <v>4.0999999999999996</v>
      </c>
      <c r="X62" t="str" cm="1">
        <f t="array" ref="X62">_xlfn.IFS(Table1_1[[#This Row],[Customer_Rating]]&lt;3,"Poor",Table1_1[[#This Row],[Customer_Rating]]&lt;4,"Good",Table1_1[[#This Row],[Customer_Rating]]&gt;=4,"Excellent")</f>
        <v>Excellent</v>
      </c>
    </row>
    <row r="63" spans="1:24" x14ac:dyDescent="0.35">
      <c r="A63" s="2" t="s">
        <v>146</v>
      </c>
      <c r="B63" s="3">
        <v>45919</v>
      </c>
      <c r="C63" s="3" t="str">
        <f>TEXT(Table1_1[[#This Row],[Date]],"YYYY")</f>
        <v>2025</v>
      </c>
      <c r="D63" s="3" t="str">
        <f>TEXT(Table1_1[[#This Row],[Date]],"mmm")</f>
        <v>Sep</v>
      </c>
      <c r="E63" s="2" t="s">
        <v>39</v>
      </c>
      <c r="F63" s="2" t="str">
        <f>INDEX(IndiGo_Flight_Data!$R$2:$R$11,MATCH(Table1_1[[#This Row],[Route]],_xlfn.ANCHORARRAY(IndiGo_Flight_Data!$Q$2),0))</f>
        <v>Bengaluru - Delhi</v>
      </c>
      <c r="G63" s="2" t="s">
        <v>24</v>
      </c>
      <c r="H63">
        <v>119</v>
      </c>
      <c r="I63">
        <v>180</v>
      </c>
      <c r="J63">
        <f>Table1_1[[#This Row],[Seat_Capacity]]-Table1_1[[#This Row],[Passengers]]</f>
        <v>61</v>
      </c>
      <c r="K63">
        <v>66.11</v>
      </c>
      <c r="L63" t="str" cm="1">
        <f t="array" ref="L63">_xlfn.IFS(Table1_1[[#This Row],[Load_Factor_%]]&lt;60,"Low",Table1_1[[#This Row],[Load_Factor_%]]&lt;85,"Intermediate",Table1_1[[#This Row],[Load_Factor_%]]&gt;=85,"High")</f>
        <v>Intermediate</v>
      </c>
      <c r="M63" s="4">
        <v>746950</v>
      </c>
      <c r="N63" s="4">
        <v>110581</v>
      </c>
      <c r="O63" s="4">
        <f>SUM(Table1_1[[#This Row],[Ticket_Revenue_INR]:[Cargo_Revenue_INR]])</f>
        <v>857531</v>
      </c>
      <c r="P63" s="4">
        <v>502179</v>
      </c>
      <c r="Q63" s="4">
        <v>1126233</v>
      </c>
      <c r="R63" s="4">
        <f>SUM(Table1_1[[#This Row],[Fuel_Cost_INR]:[Operating_Cost_INR]])</f>
        <v>1628412</v>
      </c>
      <c r="S63" s="4">
        <f>Table1_1[[#This Row],[Total_Revenue]]-Table1_1[[#This Row],[Total_Cost]]</f>
        <v>-770881</v>
      </c>
      <c r="T63" s="9">
        <f>(Table1_1[[#This Row],[Total_Profit]]/Table1_1[[#This Row],[Total_Revenue]])</f>
        <v>-0.89895409028944728</v>
      </c>
      <c r="U63" s="5">
        <v>84</v>
      </c>
      <c r="V63" s="6" t="s">
        <v>18</v>
      </c>
      <c r="W63" s="8">
        <v>3.9</v>
      </c>
      <c r="X63" t="str" cm="1">
        <f t="array" ref="X63">_xlfn.IFS(Table1_1[[#This Row],[Customer_Rating]]&lt;3,"Poor",Table1_1[[#This Row],[Customer_Rating]]&lt;4,"Good",Table1_1[[#This Row],[Customer_Rating]]&gt;=4,"Excellent")</f>
        <v>Good</v>
      </c>
    </row>
    <row r="64" spans="1:24" x14ac:dyDescent="0.35">
      <c r="A64" s="2" t="s">
        <v>148</v>
      </c>
      <c r="B64" s="3">
        <v>45818</v>
      </c>
      <c r="C64" s="3" t="str">
        <f>TEXT(Table1_1[[#This Row],[Date]],"YYYY")</f>
        <v>2025</v>
      </c>
      <c r="D64" s="3" t="str">
        <f>TEXT(Table1_1[[#This Row],[Date]],"mmm")</f>
        <v>Jun</v>
      </c>
      <c r="E64" s="2" t="s">
        <v>76</v>
      </c>
      <c r="F64" s="2" t="str">
        <f>INDEX(IndiGo_Flight_Data!$R$2:$R$11,MATCH(Table1_1[[#This Row],[Route]],_xlfn.ANCHORARRAY(IndiGo_Flight_Data!$Q$2),0))</f>
        <v>Madras - Delhi</v>
      </c>
      <c r="G64" s="2" t="s">
        <v>43</v>
      </c>
      <c r="H64">
        <v>166</v>
      </c>
      <c r="I64">
        <v>232</v>
      </c>
      <c r="J64">
        <f>Table1_1[[#This Row],[Seat_Capacity]]-Table1_1[[#This Row],[Passengers]]</f>
        <v>66</v>
      </c>
      <c r="K64">
        <v>71.55</v>
      </c>
      <c r="L64" t="str" cm="1">
        <f t="array" ref="L64">_xlfn.IFS(Table1_1[[#This Row],[Load_Factor_%]]&lt;60,"Low",Table1_1[[#This Row],[Load_Factor_%]]&lt;85,"Intermediate",Table1_1[[#This Row],[Load_Factor_%]]&gt;=85,"High")</f>
        <v>Intermediate</v>
      </c>
      <c r="M64" s="4">
        <v>1176596</v>
      </c>
      <c r="N64" s="4">
        <v>34431</v>
      </c>
      <c r="O64" s="4">
        <f>SUM(Table1_1[[#This Row],[Ticket_Revenue_INR]:[Cargo_Revenue_INR]])</f>
        <v>1211027</v>
      </c>
      <c r="P64" s="4">
        <v>1160890</v>
      </c>
      <c r="Q64" s="4">
        <v>1730071</v>
      </c>
      <c r="R64" s="4">
        <f>SUM(Table1_1[[#This Row],[Fuel_Cost_INR]:[Operating_Cost_INR]])</f>
        <v>2890961</v>
      </c>
      <c r="S64" s="4">
        <f>Table1_1[[#This Row],[Total_Revenue]]-Table1_1[[#This Row],[Total_Cost]]</f>
        <v>-1679934</v>
      </c>
      <c r="T64" s="9">
        <f>(Table1_1[[#This Row],[Total_Profit]]/Table1_1[[#This Row],[Total_Revenue]])</f>
        <v>-1.3871978081413543</v>
      </c>
      <c r="U64" s="5">
        <v>36</v>
      </c>
      <c r="V64" s="6" t="s">
        <v>18</v>
      </c>
      <c r="W64" s="8">
        <v>4</v>
      </c>
      <c r="X64" t="str" cm="1">
        <f t="array" ref="X64">_xlfn.IFS(Table1_1[[#This Row],[Customer_Rating]]&lt;3,"Poor",Table1_1[[#This Row],[Customer_Rating]]&lt;4,"Good",Table1_1[[#This Row],[Customer_Rating]]&gt;=4,"Excellent")</f>
        <v>Excellent</v>
      </c>
    </row>
    <row r="65" spans="1:24" x14ac:dyDescent="0.35">
      <c r="A65" s="2" t="s">
        <v>150</v>
      </c>
      <c r="B65" s="3">
        <v>45791</v>
      </c>
      <c r="C65" s="3" t="str">
        <f>TEXT(Table1_1[[#This Row],[Date]],"YYYY")</f>
        <v>2025</v>
      </c>
      <c r="D65" s="3" t="str">
        <f>TEXT(Table1_1[[#This Row],[Date]],"mmm")</f>
        <v>May</v>
      </c>
      <c r="E65" s="2" t="s">
        <v>36</v>
      </c>
      <c r="F65" s="2" t="str">
        <f>INDEX(IndiGo_Flight_Data!$R$2:$R$11,MATCH(Table1_1[[#This Row],[Route]],_xlfn.ANCHORARRAY(IndiGo_Flight_Data!$Q$2),0))</f>
        <v>Delhi - Bombay</v>
      </c>
      <c r="G65" s="2" t="s">
        <v>24</v>
      </c>
      <c r="H65">
        <v>144</v>
      </c>
      <c r="I65">
        <v>180</v>
      </c>
      <c r="J65">
        <f>Table1_1[[#This Row],[Seat_Capacity]]-Table1_1[[#This Row],[Passengers]]</f>
        <v>36</v>
      </c>
      <c r="K65">
        <v>80</v>
      </c>
      <c r="L65" t="str" cm="1">
        <f t="array" ref="L65">_xlfn.IFS(Table1_1[[#This Row],[Load_Factor_%]]&lt;60,"Low",Table1_1[[#This Row],[Load_Factor_%]]&lt;85,"Intermediate",Table1_1[[#This Row],[Load_Factor_%]]&gt;=85,"High")</f>
        <v>Intermediate</v>
      </c>
      <c r="M65" s="4">
        <v>1042643</v>
      </c>
      <c r="N65" s="4">
        <v>26926</v>
      </c>
      <c r="O65" s="4">
        <f>SUM(Table1_1[[#This Row],[Ticket_Revenue_INR]:[Cargo_Revenue_INR]])</f>
        <v>1069569</v>
      </c>
      <c r="P65" s="4">
        <v>418785</v>
      </c>
      <c r="Q65" s="4">
        <v>867078</v>
      </c>
      <c r="R65" s="4">
        <f>SUM(Table1_1[[#This Row],[Fuel_Cost_INR]:[Operating_Cost_INR]])</f>
        <v>1285863</v>
      </c>
      <c r="S65" s="4">
        <f>Table1_1[[#This Row],[Total_Revenue]]-Table1_1[[#This Row],[Total_Cost]]</f>
        <v>-216294</v>
      </c>
      <c r="T65" s="9">
        <f>(Table1_1[[#This Row],[Total_Profit]]/Table1_1[[#This Row],[Total_Revenue]])</f>
        <v>-0.20222538237364771</v>
      </c>
      <c r="U65" s="5">
        <v>62</v>
      </c>
      <c r="V65" s="6" t="s">
        <v>18</v>
      </c>
      <c r="W65" s="8">
        <v>4.3</v>
      </c>
      <c r="X65" t="str" cm="1">
        <f t="array" ref="X65">_xlfn.IFS(Table1_1[[#This Row],[Customer_Rating]]&lt;3,"Poor",Table1_1[[#This Row],[Customer_Rating]]&lt;4,"Good",Table1_1[[#This Row],[Customer_Rating]]&gt;=4,"Excellent")</f>
        <v>Excellent</v>
      </c>
    </row>
    <row r="66" spans="1:24" x14ac:dyDescent="0.35">
      <c r="A66" s="2" t="s">
        <v>152</v>
      </c>
      <c r="B66" s="3">
        <v>45820</v>
      </c>
      <c r="C66" s="3" t="str">
        <f>TEXT(Table1_1[[#This Row],[Date]],"YYYY")</f>
        <v>2025</v>
      </c>
      <c r="D66" s="3" t="str">
        <f>TEXT(Table1_1[[#This Row],[Date]],"mmm")</f>
        <v>Jun</v>
      </c>
      <c r="E66" s="2" t="s">
        <v>59</v>
      </c>
      <c r="F66" s="2" t="str">
        <f>INDEX(IndiGo_Flight_Data!$R$2:$R$11,MATCH(Table1_1[[#This Row],[Route]],_xlfn.ANCHORARRAY(IndiGo_Flight_Data!$Q$2),0))</f>
        <v>Bengaluru - Bombay</v>
      </c>
      <c r="G66" s="2" t="s">
        <v>43</v>
      </c>
      <c r="H66">
        <v>222</v>
      </c>
      <c r="I66">
        <v>232</v>
      </c>
      <c r="J66">
        <f>Table1_1[[#This Row],[Seat_Capacity]]-Table1_1[[#This Row],[Passengers]]</f>
        <v>10</v>
      </c>
      <c r="K66">
        <v>95.69</v>
      </c>
      <c r="L66" t="str" cm="1">
        <f t="array" ref="L66">_xlfn.IFS(Table1_1[[#This Row],[Load_Factor_%]]&lt;60,"Low",Table1_1[[#This Row],[Load_Factor_%]]&lt;85,"Intermediate",Table1_1[[#This Row],[Load_Factor_%]]&gt;=85,"High")</f>
        <v>High</v>
      </c>
      <c r="M66" s="4">
        <v>1809683</v>
      </c>
      <c r="N66" s="4">
        <v>136822</v>
      </c>
      <c r="O66" s="4">
        <f>SUM(Table1_1[[#This Row],[Ticket_Revenue_INR]:[Cargo_Revenue_INR]])</f>
        <v>1946505</v>
      </c>
      <c r="P66" s="4">
        <v>724487</v>
      </c>
      <c r="Q66" s="4">
        <v>961708</v>
      </c>
      <c r="R66" s="4">
        <f>SUM(Table1_1[[#This Row],[Fuel_Cost_INR]:[Operating_Cost_INR]])</f>
        <v>1686195</v>
      </c>
      <c r="S66" s="4">
        <f>Table1_1[[#This Row],[Total_Revenue]]-Table1_1[[#This Row],[Total_Cost]]</f>
        <v>260310</v>
      </c>
      <c r="T66" s="9">
        <f>(Table1_1[[#This Row],[Total_Profit]]/Table1_1[[#This Row],[Total_Revenue]])</f>
        <v>0.13373199657848298</v>
      </c>
      <c r="U66" s="5">
        <v>26</v>
      </c>
      <c r="V66" s="6" t="s">
        <v>18</v>
      </c>
      <c r="W66" s="8">
        <v>3.4</v>
      </c>
      <c r="X66" t="str" cm="1">
        <f t="array" ref="X66">_xlfn.IFS(Table1_1[[#This Row],[Customer_Rating]]&lt;3,"Poor",Table1_1[[#This Row],[Customer_Rating]]&lt;4,"Good",Table1_1[[#This Row],[Customer_Rating]]&gt;=4,"Excellent")</f>
        <v>Good</v>
      </c>
    </row>
    <row r="67" spans="1:24" x14ac:dyDescent="0.35">
      <c r="A67" s="2" t="s">
        <v>153</v>
      </c>
      <c r="B67" s="3">
        <v>45951</v>
      </c>
      <c r="C67" s="3" t="str">
        <f>TEXT(Table1_1[[#This Row],[Date]],"YYYY")</f>
        <v>2025</v>
      </c>
      <c r="D67" s="3" t="str">
        <f>TEXT(Table1_1[[#This Row],[Date]],"mmm")</f>
        <v>Oct</v>
      </c>
      <c r="E67" s="2" t="s">
        <v>59</v>
      </c>
      <c r="F67" s="2" t="str">
        <f>INDEX(IndiGo_Flight_Data!$R$2:$R$11,MATCH(Table1_1[[#This Row],[Route]],_xlfn.ANCHORARRAY(IndiGo_Flight_Data!$Q$2),0))</f>
        <v>Bengaluru - Bombay</v>
      </c>
      <c r="G67" s="2" t="s">
        <v>17</v>
      </c>
      <c r="H67">
        <v>49</v>
      </c>
      <c r="I67">
        <v>78</v>
      </c>
      <c r="J67">
        <f>Table1_1[[#This Row],[Seat_Capacity]]-Table1_1[[#This Row],[Passengers]]</f>
        <v>29</v>
      </c>
      <c r="K67">
        <v>62.82</v>
      </c>
      <c r="L67" t="str" cm="1">
        <f t="array" ref="L67">_xlfn.IFS(Table1_1[[#This Row],[Load_Factor_%]]&lt;60,"Low",Table1_1[[#This Row],[Load_Factor_%]]&lt;85,"Intermediate",Table1_1[[#This Row],[Load_Factor_%]]&gt;=85,"High")</f>
        <v>Intermediate</v>
      </c>
      <c r="M67" s="4">
        <v>259719</v>
      </c>
      <c r="N67" s="4">
        <v>49391</v>
      </c>
      <c r="O67" s="4">
        <f>SUM(Table1_1[[#This Row],[Ticket_Revenue_INR]:[Cargo_Revenue_INR]])</f>
        <v>309110</v>
      </c>
      <c r="P67" s="4">
        <v>568045</v>
      </c>
      <c r="Q67" s="4">
        <v>776885</v>
      </c>
      <c r="R67" s="4">
        <f>SUM(Table1_1[[#This Row],[Fuel_Cost_INR]:[Operating_Cost_INR]])</f>
        <v>1344930</v>
      </c>
      <c r="S67" s="4">
        <f>Table1_1[[#This Row],[Total_Revenue]]-Table1_1[[#This Row],[Total_Cost]]</f>
        <v>-1035820</v>
      </c>
      <c r="T67" s="9">
        <f>(Table1_1[[#This Row],[Total_Profit]]/Table1_1[[#This Row],[Total_Revenue]])</f>
        <v>-3.3509753809323541</v>
      </c>
      <c r="U67" s="5">
        <v>87</v>
      </c>
      <c r="V67" s="6" t="s">
        <v>18</v>
      </c>
      <c r="W67" s="8">
        <v>4.3</v>
      </c>
      <c r="X67" t="str" cm="1">
        <f t="array" ref="X67">_xlfn.IFS(Table1_1[[#This Row],[Customer_Rating]]&lt;3,"Poor",Table1_1[[#This Row],[Customer_Rating]]&lt;4,"Good",Table1_1[[#This Row],[Customer_Rating]]&gt;=4,"Excellent")</f>
        <v>Excellent</v>
      </c>
    </row>
    <row r="68" spans="1:24" x14ac:dyDescent="0.35">
      <c r="A68" s="2" t="s">
        <v>155</v>
      </c>
      <c r="B68" s="3">
        <v>45732</v>
      </c>
      <c r="C68" s="3" t="str">
        <f>TEXT(Table1_1[[#This Row],[Date]],"YYYY")</f>
        <v>2025</v>
      </c>
      <c r="D68" s="3" t="str">
        <f>TEXT(Table1_1[[#This Row],[Date]],"mmm")</f>
        <v>Mar</v>
      </c>
      <c r="E68" s="2" t="s">
        <v>117</v>
      </c>
      <c r="F68" s="2" t="str">
        <f>INDEX(IndiGo_Flight_Data!$R$2:$R$11,MATCH(Table1_1[[#This Row],[Route]],_xlfn.ANCHORARRAY(IndiGo_Flight_Data!$Q$2),0))</f>
        <v>Bengaluru - Calacatta</v>
      </c>
      <c r="G68" s="2" t="s">
        <v>17</v>
      </c>
      <c r="H68">
        <v>47</v>
      </c>
      <c r="I68">
        <v>78</v>
      </c>
      <c r="J68">
        <f>Table1_1[[#This Row],[Seat_Capacity]]-Table1_1[[#This Row],[Passengers]]</f>
        <v>31</v>
      </c>
      <c r="K68">
        <v>60.26</v>
      </c>
      <c r="L68" t="str" cm="1">
        <f t="array" ref="L68">_xlfn.IFS(Table1_1[[#This Row],[Load_Factor_%]]&lt;60,"Low",Table1_1[[#This Row],[Load_Factor_%]]&lt;85,"Intermediate",Table1_1[[#This Row],[Load_Factor_%]]&gt;=85,"High")</f>
        <v>Intermediate</v>
      </c>
      <c r="M68" s="4">
        <v>365973</v>
      </c>
      <c r="N68" s="4">
        <v>52457</v>
      </c>
      <c r="O68" s="4">
        <f>SUM(Table1_1[[#This Row],[Ticket_Revenue_INR]:[Cargo_Revenue_INR]])</f>
        <v>418430</v>
      </c>
      <c r="P68" s="4">
        <v>913191</v>
      </c>
      <c r="Q68" s="4">
        <v>1311249</v>
      </c>
      <c r="R68" s="4">
        <f>SUM(Table1_1[[#This Row],[Fuel_Cost_INR]:[Operating_Cost_INR]])</f>
        <v>2224440</v>
      </c>
      <c r="S68" s="4">
        <f>Table1_1[[#This Row],[Total_Revenue]]-Table1_1[[#This Row],[Total_Cost]]</f>
        <v>-1806010</v>
      </c>
      <c r="T68" s="9">
        <f>(Table1_1[[#This Row],[Total_Profit]]/Table1_1[[#This Row],[Total_Revenue]])</f>
        <v>-4.3161580192624811</v>
      </c>
      <c r="U68" s="5">
        <v>75</v>
      </c>
      <c r="V68" s="6" t="s">
        <v>18</v>
      </c>
      <c r="W68" s="8">
        <v>4.2</v>
      </c>
      <c r="X68" t="str" cm="1">
        <f t="array" ref="X68">_xlfn.IFS(Table1_1[[#This Row],[Customer_Rating]]&lt;3,"Poor",Table1_1[[#This Row],[Customer_Rating]]&lt;4,"Good",Table1_1[[#This Row],[Customer_Rating]]&gt;=4,"Excellent")</f>
        <v>Excellent</v>
      </c>
    </row>
    <row r="69" spans="1:24" x14ac:dyDescent="0.35">
      <c r="A69" s="2" t="s">
        <v>157</v>
      </c>
      <c r="B69" s="3">
        <v>45781</v>
      </c>
      <c r="C69" s="3" t="str">
        <f>TEXT(Table1_1[[#This Row],[Date]],"YYYY")</f>
        <v>2025</v>
      </c>
      <c r="D69" s="3" t="str">
        <f>TEXT(Table1_1[[#This Row],[Date]],"mmm")</f>
        <v>May</v>
      </c>
      <c r="E69" s="2" t="s">
        <v>59</v>
      </c>
      <c r="F69" s="2" t="str">
        <f>INDEX(IndiGo_Flight_Data!$R$2:$R$11,MATCH(Table1_1[[#This Row],[Route]],_xlfn.ANCHORARRAY(IndiGo_Flight_Data!$Q$2),0))</f>
        <v>Bengaluru - Bombay</v>
      </c>
      <c r="G69" s="2" t="s">
        <v>43</v>
      </c>
      <c r="H69">
        <v>174</v>
      </c>
      <c r="I69">
        <v>232</v>
      </c>
      <c r="J69">
        <f>Table1_1[[#This Row],[Seat_Capacity]]-Table1_1[[#This Row],[Passengers]]</f>
        <v>58</v>
      </c>
      <c r="K69">
        <v>75</v>
      </c>
      <c r="L69" t="str" cm="1">
        <f t="array" ref="L69">_xlfn.IFS(Table1_1[[#This Row],[Load_Factor_%]]&lt;60,"Low",Table1_1[[#This Row],[Load_Factor_%]]&lt;85,"Intermediate",Table1_1[[#This Row],[Load_Factor_%]]&gt;=85,"High")</f>
        <v>Intermediate</v>
      </c>
      <c r="M69" s="4">
        <v>871216</v>
      </c>
      <c r="N69" s="4">
        <v>98585</v>
      </c>
      <c r="O69" s="4">
        <f>SUM(Table1_1[[#This Row],[Ticket_Revenue_INR]:[Cargo_Revenue_INR]])</f>
        <v>969801</v>
      </c>
      <c r="P69" s="4">
        <v>958987</v>
      </c>
      <c r="Q69" s="4">
        <v>1435257</v>
      </c>
      <c r="R69" s="4">
        <f>SUM(Table1_1[[#This Row],[Fuel_Cost_INR]:[Operating_Cost_INR]])</f>
        <v>2394244</v>
      </c>
      <c r="S69" s="4">
        <f>Table1_1[[#This Row],[Total_Revenue]]-Table1_1[[#This Row],[Total_Cost]]</f>
        <v>-1424443</v>
      </c>
      <c r="T69" s="9">
        <f>(Table1_1[[#This Row],[Total_Profit]]/Table1_1[[#This Row],[Total_Revenue]])</f>
        <v>-1.4687992691284089</v>
      </c>
      <c r="U69" s="5">
        <v>83</v>
      </c>
      <c r="V69" s="6" t="s">
        <v>18</v>
      </c>
      <c r="W69" s="8">
        <v>4.7</v>
      </c>
      <c r="X69" t="str" cm="1">
        <f t="array" ref="X69">_xlfn.IFS(Table1_1[[#This Row],[Customer_Rating]]&lt;3,"Poor",Table1_1[[#This Row],[Customer_Rating]]&lt;4,"Good",Table1_1[[#This Row],[Customer_Rating]]&gt;=4,"Excellent")</f>
        <v>Excellent</v>
      </c>
    </row>
    <row r="70" spans="1:24" x14ac:dyDescent="0.35">
      <c r="A70" s="2" t="s">
        <v>158</v>
      </c>
      <c r="B70" s="3">
        <v>45986</v>
      </c>
      <c r="C70" s="3" t="str">
        <f>TEXT(Table1_1[[#This Row],[Date]],"YYYY")</f>
        <v>2025</v>
      </c>
      <c r="D70" s="3" t="str">
        <f>TEXT(Table1_1[[#This Row],[Date]],"mmm")</f>
        <v>Nov</v>
      </c>
      <c r="E70" s="2" t="s">
        <v>59</v>
      </c>
      <c r="F70" s="2" t="str">
        <f>INDEX(IndiGo_Flight_Data!$R$2:$R$11,MATCH(Table1_1[[#This Row],[Route]],_xlfn.ANCHORARRAY(IndiGo_Flight_Data!$Q$2),0))</f>
        <v>Bengaluru - Bombay</v>
      </c>
      <c r="G70" s="2" t="s">
        <v>24</v>
      </c>
      <c r="H70">
        <v>155</v>
      </c>
      <c r="I70">
        <v>180</v>
      </c>
      <c r="J70">
        <f>Table1_1[[#This Row],[Seat_Capacity]]-Table1_1[[#This Row],[Passengers]]</f>
        <v>25</v>
      </c>
      <c r="K70">
        <v>86.11</v>
      </c>
      <c r="L70" t="str" cm="1">
        <f t="array" ref="L70">_xlfn.IFS(Table1_1[[#This Row],[Load_Factor_%]]&lt;60,"Low",Table1_1[[#This Row],[Load_Factor_%]]&lt;85,"Intermediate",Table1_1[[#This Row],[Load_Factor_%]]&gt;=85,"High")</f>
        <v>High</v>
      </c>
      <c r="M70" s="4">
        <v>1073153</v>
      </c>
      <c r="N70" s="4">
        <v>66171</v>
      </c>
      <c r="O70" s="4">
        <f>SUM(Table1_1[[#This Row],[Ticket_Revenue_INR]:[Cargo_Revenue_INR]])</f>
        <v>1139324</v>
      </c>
      <c r="P70" s="4">
        <v>1039894</v>
      </c>
      <c r="Q70" s="4">
        <v>1404300</v>
      </c>
      <c r="R70" s="4">
        <f>SUM(Table1_1[[#This Row],[Fuel_Cost_INR]:[Operating_Cost_INR]])</f>
        <v>2444194</v>
      </c>
      <c r="S70" s="4">
        <f>Table1_1[[#This Row],[Total_Revenue]]-Table1_1[[#This Row],[Total_Cost]]</f>
        <v>-1304870</v>
      </c>
      <c r="T70" s="9">
        <f>(Table1_1[[#This Row],[Total_Profit]]/Table1_1[[#This Row],[Total_Revenue]])</f>
        <v>-1.1453019509814593</v>
      </c>
      <c r="U70" s="5">
        <v>66</v>
      </c>
      <c r="V70" s="6" t="s">
        <v>18</v>
      </c>
      <c r="W70" s="8">
        <v>3.2</v>
      </c>
      <c r="X70" t="str" cm="1">
        <f t="array" ref="X70">_xlfn.IFS(Table1_1[[#This Row],[Customer_Rating]]&lt;3,"Poor",Table1_1[[#This Row],[Customer_Rating]]&lt;4,"Good",Table1_1[[#This Row],[Customer_Rating]]&gt;=4,"Excellent")</f>
        <v>Good</v>
      </c>
    </row>
    <row r="71" spans="1:24" x14ac:dyDescent="0.35">
      <c r="A71" s="2" t="s">
        <v>160</v>
      </c>
      <c r="B71" s="3">
        <v>45933</v>
      </c>
      <c r="C71" s="3" t="str">
        <f>TEXT(Table1_1[[#This Row],[Date]],"YYYY")</f>
        <v>2025</v>
      </c>
      <c r="D71" s="3" t="str">
        <f>TEXT(Table1_1[[#This Row],[Date]],"mmm")</f>
        <v>Oct</v>
      </c>
      <c r="E71" s="2" t="s">
        <v>42</v>
      </c>
      <c r="F71" s="2" t="str">
        <f>INDEX(IndiGo_Flight_Data!$R$2:$R$11,MATCH(Table1_1[[#This Row],[Route]],_xlfn.ANCHORARRAY(IndiGo_Flight_Data!$Q$2),0))</f>
        <v>Bombay - Hyderabad</v>
      </c>
      <c r="G71" s="2" t="s">
        <v>17</v>
      </c>
      <c r="H71">
        <v>61</v>
      </c>
      <c r="I71">
        <v>78</v>
      </c>
      <c r="J71">
        <f>Table1_1[[#This Row],[Seat_Capacity]]-Table1_1[[#This Row],[Passengers]]</f>
        <v>17</v>
      </c>
      <c r="K71">
        <v>78.209999999999994</v>
      </c>
      <c r="L71" t="str" cm="1">
        <f t="array" ref="L71">_xlfn.IFS(Table1_1[[#This Row],[Load_Factor_%]]&lt;60,"Low",Table1_1[[#This Row],[Load_Factor_%]]&lt;85,"Intermediate",Table1_1[[#This Row],[Load_Factor_%]]&gt;=85,"High")</f>
        <v>Intermediate</v>
      </c>
      <c r="M71" s="4">
        <v>546591</v>
      </c>
      <c r="N71" s="4">
        <v>39897</v>
      </c>
      <c r="O71" s="4">
        <f>SUM(Table1_1[[#This Row],[Ticket_Revenue_INR]:[Cargo_Revenue_INR]])</f>
        <v>586488</v>
      </c>
      <c r="P71" s="4">
        <v>411442</v>
      </c>
      <c r="Q71" s="4">
        <v>1072293</v>
      </c>
      <c r="R71" s="4">
        <f>SUM(Table1_1[[#This Row],[Fuel_Cost_INR]:[Operating_Cost_INR]])</f>
        <v>1483735</v>
      </c>
      <c r="S71" s="4">
        <f>Table1_1[[#This Row],[Total_Revenue]]-Table1_1[[#This Row],[Total_Cost]]</f>
        <v>-897247</v>
      </c>
      <c r="T71" s="9">
        <f>(Table1_1[[#This Row],[Total_Profit]]/Table1_1[[#This Row],[Total_Revenue]])</f>
        <v>-1.5298642086453602</v>
      </c>
      <c r="U71" s="5">
        <v>59</v>
      </c>
      <c r="V71" s="6" t="s">
        <v>18</v>
      </c>
      <c r="W71" s="8">
        <v>3.9</v>
      </c>
      <c r="X71" t="str" cm="1">
        <f t="array" ref="X71">_xlfn.IFS(Table1_1[[#This Row],[Customer_Rating]]&lt;3,"Poor",Table1_1[[#This Row],[Customer_Rating]]&lt;4,"Good",Table1_1[[#This Row],[Customer_Rating]]&gt;=4,"Excellent")</f>
        <v>Good</v>
      </c>
    </row>
    <row r="72" spans="1:24" x14ac:dyDescent="0.35">
      <c r="A72" s="2" t="s">
        <v>161</v>
      </c>
      <c r="B72" s="3">
        <v>45816</v>
      </c>
      <c r="C72" s="3" t="str">
        <f>TEXT(Table1_1[[#This Row],[Date]],"YYYY")</f>
        <v>2025</v>
      </c>
      <c r="D72" s="3" t="str">
        <f>TEXT(Table1_1[[#This Row],[Date]],"mmm")</f>
        <v>Jun</v>
      </c>
      <c r="E72" s="2" t="s">
        <v>117</v>
      </c>
      <c r="F72" s="2" t="str">
        <f>INDEX(IndiGo_Flight_Data!$R$2:$R$11,MATCH(Table1_1[[#This Row],[Route]],_xlfn.ANCHORARRAY(IndiGo_Flight_Data!$Q$2),0))</f>
        <v>Bengaluru - Calacatta</v>
      </c>
      <c r="G72" s="2" t="s">
        <v>24</v>
      </c>
      <c r="H72">
        <v>125</v>
      </c>
      <c r="I72">
        <v>180</v>
      </c>
      <c r="J72">
        <f>Table1_1[[#This Row],[Seat_Capacity]]-Table1_1[[#This Row],[Passengers]]</f>
        <v>55</v>
      </c>
      <c r="K72">
        <v>69.44</v>
      </c>
      <c r="L72" t="str" cm="1">
        <f t="array" ref="L72">_xlfn.IFS(Table1_1[[#This Row],[Load_Factor_%]]&lt;60,"Low",Table1_1[[#This Row],[Load_Factor_%]]&lt;85,"Intermediate",Table1_1[[#This Row],[Load_Factor_%]]&gt;=85,"High")</f>
        <v>Intermediate</v>
      </c>
      <c r="M72" s="4">
        <v>809014</v>
      </c>
      <c r="N72" s="4">
        <v>46401</v>
      </c>
      <c r="O72" s="4">
        <f>SUM(Table1_1[[#This Row],[Ticket_Revenue_INR]:[Cargo_Revenue_INR]])</f>
        <v>855415</v>
      </c>
      <c r="P72" s="4">
        <v>1045703</v>
      </c>
      <c r="Q72" s="4">
        <v>1309371</v>
      </c>
      <c r="R72" s="4">
        <f>SUM(Table1_1[[#This Row],[Fuel_Cost_INR]:[Operating_Cost_INR]])</f>
        <v>2355074</v>
      </c>
      <c r="S72" s="4">
        <f>Table1_1[[#This Row],[Total_Revenue]]-Table1_1[[#This Row],[Total_Cost]]</f>
        <v>-1499659</v>
      </c>
      <c r="T72" s="9">
        <f>(Table1_1[[#This Row],[Total_Profit]]/Table1_1[[#This Row],[Total_Revenue]])</f>
        <v>-1.7531361970505543</v>
      </c>
      <c r="U72" s="5">
        <v>89</v>
      </c>
      <c r="V72" s="6" t="s">
        <v>18</v>
      </c>
      <c r="W72" s="8">
        <v>3.9</v>
      </c>
      <c r="X72" t="str" cm="1">
        <f t="array" ref="X72">_xlfn.IFS(Table1_1[[#This Row],[Customer_Rating]]&lt;3,"Poor",Table1_1[[#This Row],[Customer_Rating]]&lt;4,"Good",Table1_1[[#This Row],[Customer_Rating]]&gt;=4,"Excellent")</f>
        <v>Good</v>
      </c>
    </row>
    <row r="73" spans="1:24" x14ac:dyDescent="0.35">
      <c r="A73" s="2" t="s">
        <v>163</v>
      </c>
      <c r="B73" s="3">
        <v>46014</v>
      </c>
      <c r="C73" s="3" t="str">
        <f>TEXT(Table1_1[[#This Row],[Date]],"YYYY")</f>
        <v>2025</v>
      </c>
      <c r="D73" s="3" t="str">
        <f>TEXT(Table1_1[[#This Row],[Date]],"mmm")</f>
        <v>Dec</v>
      </c>
      <c r="E73" s="2" t="s">
        <v>29</v>
      </c>
      <c r="F73" s="2" t="str">
        <f>INDEX(IndiGo_Flight_Data!$R$2:$R$11,MATCH(Table1_1[[#This Row],[Route]],_xlfn.ANCHORARRAY(IndiGo_Flight_Data!$Q$2),0))</f>
        <v>Calacatta - Delhi</v>
      </c>
      <c r="G73" s="2" t="s">
        <v>43</v>
      </c>
      <c r="H73">
        <v>139</v>
      </c>
      <c r="I73">
        <v>232</v>
      </c>
      <c r="J73">
        <f>Table1_1[[#This Row],[Seat_Capacity]]-Table1_1[[#This Row],[Passengers]]</f>
        <v>93</v>
      </c>
      <c r="K73">
        <v>59.91</v>
      </c>
      <c r="L73" t="str" cm="1">
        <f t="array" ref="L73">_xlfn.IFS(Table1_1[[#This Row],[Load_Factor_%]]&lt;60,"Low",Table1_1[[#This Row],[Load_Factor_%]]&lt;85,"Intermediate",Table1_1[[#This Row],[Load_Factor_%]]&gt;=85,"High")</f>
        <v>Low</v>
      </c>
      <c r="M73" s="4">
        <v>1248617</v>
      </c>
      <c r="N73" s="4">
        <v>60111</v>
      </c>
      <c r="O73" s="4">
        <f>SUM(Table1_1[[#This Row],[Ticket_Revenue_INR]:[Cargo_Revenue_INR]])</f>
        <v>1308728</v>
      </c>
      <c r="P73" s="4">
        <v>881441</v>
      </c>
      <c r="Q73" s="4">
        <v>1129041</v>
      </c>
      <c r="R73" s="4">
        <f>SUM(Table1_1[[#This Row],[Fuel_Cost_INR]:[Operating_Cost_INR]])</f>
        <v>2010482</v>
      </c>
      <c r="S73" s="4">
        <f>Table1_1[[#This Row],[Total_Revenue]]-Table1_1[[#This Row],[Total_Cost]]</f>
        <v>-701754</v>
      </c>
      <c r="T73" s="9">
        <f>(Table1_1[[#This Row],[Total_Profit]]/Table1_1[[#This Row],[Total_Revenue]])</f>
        <v>-0.53621073286427734</v>
      </c>
      <c r="U73" s="5">
        <v>49</v>
      </c>
      <c r="V73" s="6" t="s">
        <v>18</v>
      </c>
      <c r="W73" s="8">
        <v>4.0999999999999996</v>
      </c>
      <c r="X73" t="str" cm="1">
        <f t="array" ref="X73">_xlfn.IFS(Table1_1[[#This Row],[Customer_Rating]]&lt;3,"Poor",Table1_1[[#This Row],[Customer_Rating]]&lt;4,"Good",Table1_1[[#This Row],[Customer_Rating]]&gt;=4,"Excellent")</f>
        <v>Excellent</v>
      </c>
    </row>
    <row r="74" spans="1:24" x14ac:dyDescent="0.35">
      <c r="A74" s="2" t="s">
        <v>164</v>
      </c>
      <c r="B74" s="3">
        <v>46022</v>
      </c>
      <c r="C74" s="3" t="str">
        <f>TEXT(Table1_1[[#This Row],[Date]],"YYYY")</f>
        <v>2025</v>
      </c>
      <c r="D74" s="3" t="str">
        <f>TEXT(Table1_1[[#This Row],[Date]],"mmm")</f>
        <v>Dec</v>
      </c>
      <c r="E74" s="2" t="s">
        <v>76</v>
      </c>
      <c r="F74" s="2" t="str">
        <f>INDEX(IndiGo_Flight_Data!$R$2:$R$11,MATCH(Table1_1[[#This Row],[Route]],_xlfn.ANCHORARRAY(IndiGo_Flight_Data!$Q$2),0))</f>
        <v>Madras - Delhi</v>
      </c>
      <c r="G74" s="2" t="s">
        <v>24</v>
      </c>
      <c r="H74">
        <v>125</v>
      </c>
      <c r="I74">
        <v>180</v>
      </c>
      <c r="J74">
        <f>Table1_1[[#This Row],[Seat_Capacity]]-Table1_1[[#This Row],[Passengers]]</f>
        <v>55</v>
      </c>
      <c r="K74">
        <v>69.44</v>
      </c>
      <c r="L74" t="str" cm="1">
        <f t="array" ref="L74">_xlfn.IFS(Table1_1[[#This Row],[Load_Factor_%]]&lt;60,"Low",Table1_1[[#This Row],[Load_Factor_%]]&lt;85,"Intermediate",Table1_1[[#This Row],[Load_Factor_%]]&gt;=85,"High")</f>
        <v>Intermediate</v>
      </c>
      <c r="M74" s="4">
        <v>924833</v>
      </c>
      <c r="N74" s="4">
        <v>27766</v>
      </c>
      <c r="O74" s="4">
        <f>SUM(Table1_1[[#This Row],[Ticket_Revenue_INR]:[Cargo_Revenue_INR]])</f>
        <v>952599</v>
      </c>
      <c r="P74" s="4">
        <v>359187</v>
      </c>
      <c r="Q74" s="4">
        <v>970615</v>
      </c>
      <c r="R74" s="4">
        <f>SUM(Table1_1[[#This Row],[Fuel_Cost_INR]:[Operating_Cost_INR]])</f>
        <v>1329802</v>
      </c>
      <c r="S74" s="4">
        <f>Table1_1[[#This Row],[Total_Revenue]]-Table1_1[[#This Row],[Total_Cost]]</f>
        <v>-377203</v>
      </c>
      <c r="T74" s="9">
        <f>(Table1_1[[#This Row],[Total_Profit]]/Table1_1[[#This Row],[Total_Revenue]])</f>
        <v>-0.39597249209793417</v>
      </c>
      <c r="U74" s="5">
        <v>9</v>
      </c>
      <c r="V74" s="6" t="s">
        <v>33</v>
      </c>
      <c r="W74" s="8">
        <v>4.5</v>
      </c>
      <c r="X74" t="str" cm="1">
        <f t="array" ref="X74">_xlfn.IFS(Table1_1[[#This Row],[Customer_Rating]]&lt;3,"Poor",Table1_1[[#This Row],[Customer_Rating]]&lt;4,"Good",Table1_1[[#This Row],[Customer_Rating]]&gt;=4,"Excellent")</f>
        <v>Excellent</v>
      </c>
    </row>
    <row r="75" spans="1:24" x14ac:dyDescent="0.35">
      <c r="A75" s="2" t="s">
        <v>166</v>
      </c>
      <c r="B75" s="3">
        <v>45754</v>
      </c>
      <c r="C75" s="3" t="str">
        <f>TEXT(Table1_1[[#This Row],[Date]],"YYYY")</f>
        <v>2025</v>
      </c>
      <c r="D75" s="3" t="str">
        <f>TEXT(Table1_1[[#This Row],[Date]],"mmm")</f>
        <v>Apr</v>
      </c>
      <c r="E75" s="2" t="s">
        <v>117</v>
      </c>
      <c r="F75" s="2" t="str">
        <f>INDEX(IndiGo_Flight_Data!$R$2:$R$11,MATCH(Table1_1[[#This Row],[Route]],_xlfn.ANCHORARRAY(IndiGo_Flight_Data!$Q$2),0))</f>
        <v>Bengaluru - Calacatta</v>
      </c>
      <c r="G75" s="2" t="s">
        <v>24</v>
      </c>
      <c r="H75">
        <v>125</v>
      </c>
      <c r="I75">
        <v>180</v>
      </c>
      <c r="J75">
        <f>Table1_1[[#This Row],[Seat_Capacity]]-Table1_1[[#This Row],[Passengers]]</f>
        <v>55</v>
      </c>
      <c r="K75">
        <v>69.44</v>
      </c>
      <c r="L75" t="str" cm="1">
        <f t="array" ref="L75">_xlfn.IFS(Table1_1[[#This Row],[Load_Factor_%]]&lt;60,"Low",Table1_1[[#This Row],[Load_Factor_%]]&lt;85,"Intermediate",Table1_1[[#This Row],[Load_Factor_%]]&gt;=85,"High")</f>
        <v>Intermediate</v>
      </c>
      <c r="M75" s="4">
        <v>752645</v>
      </c>
      <c r="N75" s="4">
        <v>76227</v>
      </c>
      <c r="O75" s="4">
        <f>SUM(Table1_1[[#This Row],[Ticket_Revenue_INR]:[Cargo_Revenue_INR]])</f>
        <v>828872</v>
      </c>
      <c r="P75" s="4">
        <v>344158</v>
      </c>
      <c r="Q75" s="4">
        <v>909525</v>
      </c>
      <c r="R75" s="4">
        <f>SUM(Table1_1[[#This Row],[Fuel_Cost_INR]:[Operating_Cost_INR]])</f>
        <v>1253683</v>
      </c>
      <c r="S75" s="4">
        <f>Table1_1[[#This Row],[Total_Revenue]]-Table1_1[[#This Row],[Total_Cost]]</f>
        <v>-424811</v>
      </c>
      <c r="T75" s="9">
        <f>(Table1_1[[#This Row],[Total_Profit]]/Table1_1[[#This Row],[Total_Revenue]])</f>
        <v>-0.51251701107046688</v>
      </c>
      <c r="U75" s="5">
        <v>74</v>
      </c>
      <c r="V75" s="6" t="s">
        <v>18</v>
      </c>
      <c r="W75" s="8">
        <v>4.5999999999999996</v>
      </c>
      <c r="X75" t="str" cm="1">
        <f t="array" ref="X75">_xlfn.IFS(Table1_1[[#This Row],[Customer_Rating]]&lt;3,"Poor",Table1_1[[#This Row],[Customer_Rating]]&lt;4,"Good",Table1_1[[#This Row],[Customer_Rating]]&gt;=4,"Excellent")</f>
        <v>Excellent</v>
      </c>
    </row>
    <row r="76" spans="1:24" x14ac:dyDescent="0.35">
      <c r="A76" s="2" t="s">
        <v>168</v>
      </c>
      <c r="B76" s="3">
        <v>45848</v>
      </c>
      <c r="C76" s="3" t="str">
        <f>TEXT(Table1_1[[#This Row],[Date]],"YYYY")</f>
        <v>2025</v>
      </c>
      <c r="D76" s="3" t="str">
        <f>TEXT(Table1_1[[#This Row],[Date]],"mmm")</f>
        <v>Jul</v>
      </c>
      <c r="E76" s="2" t="s">
        <v>16</v>
      </c>
      <c r="F76" s="2" t="str">
        <f>INDEX(IndiGo_Flight_Data!$R$2:$R$11,MATCH(Table1_1[[#This Row],[Route]],_xlfn.ANCHORARRAY(IndiGo_Flight_Data!$Q$2),0))</f>
        <v>Delhi - Goa</v>
      </c>
      <c r="G76" s="2" t="s">
        <v>43</v>
      </c>
      <c r="H76">
        <v>204</v>
      </c>
      <c r="I76">
        <v>232</v>
      </c>
      <c r="J76">
        <f>Table1_1[[#This Row],[Seat_Capacity]]-Table1_1[[#This Row],[Passengers]]</f>
        <v>28</v>
      </c>
      <c r="K76">
        <v>87.93</v>
      </c>
      <c r="L76" t="str" cm="1">
        <f t="array" ref="L76">_xlfn.IFS(Table1_1[[#This Row],[Load_Factor_%]]&lt;60,"Low",Table1_1[[#This Row],[Load_Factor_%]]&lt;85,"Intermediate",Table1_1[[#This Row],[Load_Factor_%]]&gt;=85,"High")</f>
        <v>High</v>
      </c>
      <c r="M76" s="4">
        <v>1181226</v>
      </c>
      <c r="N76" s="4">
        <v>105562</v>
      </c>
      <c r="O76" s="4">
        <f>SUM(Table1_1[[#This Row],[Ticket_Revenue_INR]:[Cargo_Revenue_INR]])</f>
        <v>1286788</v>
      </c>
      <c r="P76" s="4">
        <v>644435</v>
      </c>
      <c r="Q76" s="4">
        <v>903931</v>
      </c>
      <c r="R76" s="4">
        <f>SUM(Table1_1[[#This Row],[Fuel_Cost_INR]:[Operating_Cost_INR]])</f>
        <v>1548366</v>
      </c>
      <c r="S76" s="4">
        <f>Table1_1[[#This Row],[Total_Revenue]]-Table1_1[[#This Row],[Total_Cost]]</f>
        <v>-261578</v>
      </c>
      <c r="T76" s="9">
        <f>(Table1_1[[#This Row],[Total_Profit]]/Table1_1[[#This Row],[Total_Revenue]])</f>
        <v>-0.20327979434063731</v>
      </c>
      <c r="U76" s="5">
        <v>10</v>
      </c>
      <c r="V76" s="6" t="s">
        <v>33</v>
      </c>
      <c r="W76" s="8">
        <v>3.4</v>
      </c>
      <c r="X76" t="str" cm="1">
        <f t="array" ref="X76">_xlfn.IFS(Table1_1[[#This Row],[Customer_Rating]]&lt;3,"Poor",Table1_1[[#This Row],[Customer_Rating]]&lt;4,"Good",Table1_1[[#This Row],[Customer_Rating]]&gt;=4,"Excellent")</f>
        <v>Good</v>
      </c>
    </row>
    <row r="77" spans="1:24" x14ac:dyDescent="0.35">
      <c r="A77" s="2" t="s">
        <v>170</v>
      </c>
      <c r="B77" s="3">
        <v>45912</v>
      </c>
      <c r="C77" s="3" t="str">
        <f>TEXT(Table1_1[[#This Row],[Date]],"YYYY")</f>
        <v>2025</v>
      </c>
      <c r="D77" s="3" t="str">
        <f>TEXT(Table1_1[[#This Row],[Date]],"mmm")</f>
        <v>Sep</v>
      </c>
      <c r="E77" s="2" t="s">
        <v>76</v>
      </c>
      <c r="F77" s="2" t="str">
        <f>INDEX(IndiGo_Flight_Data!$R$2:$R$11,MATCH(Table1_1[[#This Row],[Route]],_xlfn.ANCHORARRAY(IndiGo_Flight_Data!$Q$2),0))</f>
        <v>Madras - Delhi</v>
      </c>
      <c r="G77" s="2" t="s">
        <v>43</v>
      </c>
      <c r="H77">
        <v>207</v>
      </c>
      <c r="I77">
        <v>232</v>
      </c>
      <c r="J77">
        <f>Table1_1[[#This Row],[Seat_Capacity]]-Table1_1[[#This Row],[Passengers]]</f>
        <v>25</v>
      </c>
      <c r="K77">
        <v>89.22</v>
      </c>
      <c r="L77" t="str" cm="1">
        <f t="array" ref="L77">_xlfn.IFS(Table1_1[[#This Row],[Load_Factor_%]]&lt;60,"Low",Table1_1[[#This Row],[Load_Factor_%]]&lt;85,"Intermediate",Table1_1[[#This Row],[Load_Factor_%]]&gt;=85,"High")</f>
        <v>High</v>
      </c>
      <c r="M77" s="4">
        <v>1253105</v>
      </c>
      <c r="N77" s="4">
        <v>107817</v>
      </c>
      <c r="O77" s="4">
        <f>SUM(Table1_1[[#This Row],[Ticket_Revenue_INR]:[Cargo_Revenue_INR]])</f>
        <v>1360922</v>
      </c>
      <c r="P77" s="4">
        <v>682028</v>
      </c>
      <c r="Q77" s="4">
        <v>823939</v>
      </c>
      <c r="R77" s="4">
        <f>SUM(Table1_1[[#This Row],[Fuel_Cost_INR]:[Operating_Cost_INR]])</f>
        <v>1505967</v>
      </c>
      <c r="S77" s="4">
        <f>Table1_1[[#This Row],[Total_Revenue]]-Table1_1[[#This Row],[Total_Cost]]</f>
        <v>-145045</v>
      </c>
      <c r="T77" s="9">
        <f>(Table1_1[[#This Row],[Total_Profit]]/Table1_1[[#This Row],[Total_Revenue]])</f>
        <v>-0.10657848135308269</v>
      </c>
      <c r="U77" s="5">
        <v>27</v>
      </c>
      <c r="V77" s="6" t="s">
        <v>18</v>
      </c>
      <c r="W77" s="8">
        <v>4.4000000000000004</v>
      </c>
      <c r="X77" t="str" cm="1">
        <f t="array" ref="X77">_xlfn.IFS(Table1_1[[#This Row],[Customer_Rating]]&lt;3,"Poor",Table1_1[[#This Row],[Customer_Rating]]&lt;4,"Good",Table1_1[[#This Row],[Customer_Rating]]&gt;=4,"Excellent")</f>
        <v>Excellent</v>
      </c>
    </row>
    <row r="78" spans="1:24" x14ac:dyDescent="0.35">
      <c r="A78" s="2" t="s">
        <v>172</v>
      </c>
      <c r="B78" s="3">
        <v>45789</v>
      </c>
      <c r="C78" s="3" t="str">
        <f>TEXT(Table1_1[[#This Row],[Date]],"YYYY")</f>
        <v>2025</v>
      </c>
      <c r="D78" s="3" t="str">
        <f>TEXT(Table1_1[[#This Row],[Date]],"mmm")</f>
        <v>May</v>
      </c>
      <c r="E78" s="2" t="s">
        <v>29</v>
      </c>
      <c r="F78" s="2" t="str">
        <f>INDEX(IndiGo_Flight_Data!$R$2:$R$11,MATCH(Table1_1[[#This Row],[Route]],_xlfn.ANCHORARRAY(IndiGo_Flight_Data!$Q$2),0))</f>
        <v>Calacatta - Delhi</v>
      </c>
      <c r="G78" s="2" t="s">
        <v>24</v>
      </c>
      <c r="H78">
        <v>114</v>
      </c>
      <c r="I78">
        <v>180</v>
      </c>
      <c r="J78">
        <f>Table1_1[[#This Row],[Seat_Capacity]]-Table1_1[[#This Row],[Passengers]]</f>
        <v>66</v>
      </c>
      <c r="K78">
        <v>63.33</v>
      </c>
      <c r="L78" t="str" cm="1">
        <f t="array" ref="L78">_xlfn.IFS(Table1_1[[#This Row],[Load_Factor_%]]&lt;60,"Low",Table1_1[[#This Row],[Load_Factor_%]]&lt;85,"Intermediate",Table1_1[[#This Row],[Load_Factor_%]]&gt;=85,"High")</f>
        <v>Intermediate</v>
      </c>
      <c r="M78" s="4">
        <v>463863</v>
      </c>
      <c r="N78" s="4">
        <v>42695</v>
      </c>
      <c r="O78" s="4">
        <f>SUM(Table1_1[[#This Row],[Ticket_Revenue_INR]:[Cargo_Revenue_INR]])</f>
        <v>506558</v>
      </c>
      <c r="P78" s="4">
        <v>606740</v>
      </c>
      <c r="Q78" s="4">
        <v>1141135</v>
      </c>
      <c r="R78" s="4">
        <f>SUM(Table1_1[[#This Row],[Fuel_Cost_INR]:[Operating_Cost_INR]])</f>
        <v>1747875</v>
      </c>
      <c r="S78" s="4">
        <f>Table1_1[[#This Row],[Total_Revenue]]-Table1_1[[#This Row],[Total_Cost]]</f>
        <v>-1241317</v>
      </c>
      <c r="T78" s="9">
        <f>(Table1_1[[#This Row],[Total_Profit]]/Table1_1[[#This Row],[Total_Revenue]])</f>
        <v>-2.4504933294904037</v>
      </c>
      <c r="U78" s="5">
        <v>44</v>
      </c>
      <c r="V78" s="6" t="s">
        <v>18</v>
      </c>
      <c r="W78" s="8">
        <v>3.9</v>
      </c>
      <c r="X78" t="str" cm="1">
        <f t="array" ref="X78">_xlfn.IFS(Table1_1[[#This Row],[Customer_Rating]]&lt;3,"Poor",Table1_1[[#This Row],[Customer_Rating]]&lt;4,"Good",Table1_1[[#This Row],[Customer_Rating]]&gt;=4,"Excellent")</f>
        <v>Good</v>
      </c>
    </row>
    <row r="79" spans="1:24" x14ac:dyDescent="0.35">
      <c r="A79" s="2" t="s">
        <v>174</v>
      </c>
      <c r="B79" s="3">
        <v>45836</v>
      </c>
      <c r="C79" s="3" t="str">
        <f>TEXT(Table1_1[[#This Row],[Date]],"YYYY")</f>
        <v>2025</v>
      </c>
      <c r="D79" s="3" t="str">
        <f>TEXT(Table1_1[[#This Row],[Date]],"mmm")</f>
        <v>Jun</v>
      </c>
      <c r="E79" s="2" t="s">
        <v>42</v>
      </c>
      <c r="F79" s="2" t="str">
        <f>INDEX(IndiGo_Flight_Data!$R$2:$R$11,MATCH(Table1_1[[#This Row],[Route]],_xlfn.ANCHORARRAY(IndiGo_Flight_Data!$Q$2),0))</f>
        <v>Bombay - Hyderabad</v>
      </c>
      <c r="G79" s="2" t="s">
        <v>17</v>
      </c>
      <c r="H79">
        <v>67</v>
      </c>
      <c r="I79">
        <v>78</v>
      </c>
      <c r="J79">
        <f>Table1_1[[#This Row],[Seat_Capacity]]-Table1_1[[#This Row],[Passengers]]</f>
        <v>11</v>
      </c>
      <c r="K79">
        <v>85.9</v>
      </c>
      <c r="L79" t="str" cm="1">
        <f t="array" ref="L79">_xlfn.IFS(Table1_1[[#This Row],[Load_Factor_%]]&lt;60,"Low",Table1_1[[#This Row],[Load_Factor_%]]&lt;85,"Intermediate",Table1_1[[#This Row],[Load_Factor_%]]&gt;=85,"High")</f>
        <v>High</v>
      </c>
      <c r="M79" s="4">
        <v>382129</v>
      </c>
      <c r="N79" s="4">
        <v>19650</v>
      </c>
      <c r="O79" s="4">
        <f>SUM(Table1_1[[#This Row],[Ticket_Revenue_INR]:[Cargo_Revenue_INR]])</f>
        <v>401779</v>
      </c>
      <c r="P79" s="4">
        <v>439581</v>
      </c>
      <c r="Q79" s="4">
        <v>674236</v>
      </c>
      <c r="R79" s="4">
        <f>SUM(Table1_1[[#This Row],[Fuel_Cost_INR]:[Operating_Cost_INR]])</f>
        <v>1113817</v>
      </c>
      <c r="S79" s="4">
        <f>Table1_1[[#This Row],[Total_Revenue]]-Table1_1[[#This Row],[Total_Cost]]</f>
        <v>-712038</v>
      </c>
      <c r="T79" s="9">
        <f>(Table1_1[[#This Row],[Total_Profit]]/Table1_1[[#This Row],[Total_Revenue]])</f>
        <v>-1.7722130823163977</v>
      </c>
      <c r="U79" s="5">
        <v>55</v>
      </c>
      <c r="V79" s="6" t="s">
        <v>18</v>
      </c>
      <c r="W79" s="8">
        <v>3.4</v>
      </c>
      <c r="X79" t="str" cm="1">
        <f t="array" ref="X79">_xlfn.IFS(Table1_1[[#This Row],[Customer_Rating]]&lt;3,"Poor",Table1_1[[#This Row],[Customer_Rating]]&lt;4,"Good",Table1_1[[#This Row],[Customer_Rating]]&gt;=4,"Excellent")</f>
        <v>Good</v>
      </c>
    </row>
    <row r="80" spans="1:24" x14ac:dyDescent="0.35">
      <c r="A80" s="2" t="s">
        <v>176</v>
      </c>
      <c r="B80" s="3">
        <v>45905</v>
      </c>
      <c r="C80" s="3" t="str">
        <f>TEXT(Table1_1[[#This Row],[Date]],"YYYY")</f>
        <v>2025</v>
      </c>
      <c r="D80" s="3" t="str">
        <f>TEXT(Table1_1[[#This Row],[Date]],"mmm")</f>
        <v>Sep</v>
      </c>
      <c r="E80" s="2" t="s">
        <v>16</v>
      </c>
      <c r="F80" s="2" t="str">
        <f>INDEX(IndiGo_Flight_Data!$R$2:$R$11,MATCH(Table1_1[[#This Row],[Route]],_xlfn.ANCHORARRAY(IndiGo_Flight_Data!$Q$2),0))</f>
        <v>Delhi - Goa</v>
      </c>
      <c r="G80" s="2" t="s">
        <v>24</v>
      </c>
      <c r="H80">
        <v>169</v>
      </c>
      <c r="I80">
        <v>180</v>
      </c>
      <c r="J80">
        <f>Table1_1[[#This Row],[Seat_Capacity]]-Table1_1[[#This Row],[Passengers]]</f>
        <v>11</v>
      </c>
      <c r="K80">
        <v>93.89</v>
      </c>
      <c r="L80" t="str" cm="1">
        <f t="array" ref="L80">_xlfn.IFS(Table1_1[[#This Row],[Load_Factor_%]]&lt;60,"Low",Table1_1[[#This Row],[Load_Factor_%]]&lt;85,"Intermediate",Table1_1[[#This Row],[Load_Factor_%]]&gt;=85,"High")</f>
        <v>High</v>
      </c>
      <c r="M80" s="4">
        <v>1483120</v>
      </c>
      <c r="N80" s="4">
        <v>18106</v>
      </c>
      <c r="O80" s="4">
        <f>SUM(Table1_1[[#This Row],[Ticket_Revenue_INR]:[Cargo_Revenue_INR]])</f>
        <v>1501226</v>
      </c>
      <c r="P80" s="4">
        <v>1096263</v>
      </c>
      <c r="Q80" s="4">
        <v>1544483</v>
      </c>
      <c r="R80" s="4">
        <f>SUM(Table1_1[[#This Row],[Fuel_Cost_INR]:[Operating_Cost_INR]])</f>
        <v>2640746</v>
      </c>
      <c r="S80" s="4">
        <f>Table1_1[[#This Row],[Total_Revenue]]-Table1_1[[#This Row],[Total_Cost]]</f>
        <v>-1139520</v>
      </c>
      <c r="T80" s="9">
        <f>(Table1_1[[#This Row],[Total_Profit]]/Table1_1[[#This Row],[Total_Revenue]])</f>
        <v>-0.75905959529078237</v>
      </c>
      <c r="U80" s="5">
        <v>42</v>
      </c>
      <c r="V80" s="6" t="s">
        <v>18</v>
      </c>
      <c r="W80" s="8">
        <v>4.8</v>
      </c>
      <c r="X80" t="str" cm="1">
        <f t="array" ref="X80">_xlfn.IFS(Table1_1[[#This Row],[Customer_Rating]]&lt;3,"Poor",Table1_1[[#This Row],[Customer_Rating]]&lt;4,"Good",Table1_1[[#This Row],[Customer_Rating]]&gt;=4,"Excellent")</f>
        <v>Excellent</v>
      </c>
    </row>
    <row r="81" spans="1:24" x14ac:dyDescent="0.35">
      <c r="A81" s="2" t="s">
        <v>178</v>
      </c>
      <c r="B81" s="3">
        <v>45871</v>
      </c>
      <c r="C81" s="3" t="str">
        <f>TEXT(Table1_1[[#This Row],[Date]],"YYYY")</f>
        <v>2025</v>
      </c>
      <c r="D81" s="3" t="str">
        <f>TEXT(Table1_1[[#This Row],[Date]],"mmm")</f>
        <v>Aug</v>
      </c>
      <c r="E81" s="2" t="s">
        <v>21</v>
      </c>
      <c r="F81" s="2" t="str">
        <f>INDEX(IndiGo_Flight_Data!$R$2:$R$11,MATCH(Table1_1[[#This Row],[Route]],_xlfn.ANCHORARRAY(IndiGo_Flight_Data!$Q$2),0))</f>
        <v>Bengaluru - Hyderabad</v>
      </c>
      <c r="G81" s="2" t="s">
        <v>24</v>
      </c>
      <c r="H81">
        <v>134</v>
      </c>
      <c r="I81">
        <v>180</v>
      </c>
      <c r="J81">
        <f>Table1_1[[#This Row],[Seat_Capacity]]-Table1_1[[#This Row],[Passengers]]</f>
        <v>46</v>
      </c>
      <c r="K81">
        <v>74.44</v>
      </c>
      <c r="L81" t="str" cm="1">
        <f t="array" ref="L81">_xlfn.IFS(Table1_1[[#This Row],[Load_Factor_%]]&lt;60,"Low",Table1_1[[#This Row],[Load_Factor_%]]&lt;85,"Intermediate",Table1_1[[#This Row],[Load_Factor_%]]&gt;=85,"High")</f>
        <v>Intermediate</v>
      </c>
      <c r="M81" s="4">
        <v>515374</v>
      </c>
      <c r="N81" s="4">
        <v>59655</v>
      </c>
      <c r="O81" s="4">
        <f>SUM(Table1_1[[#This Row],[Ticket_Revenue_INR]:[Cargo_Revenue_INR]])</f>
        <v>575029</v>
      </c>
      <c r="P81" s="4">
        <v>941132</v>
      </c>
      <c r="Q81" s="4">
        <v>1448457</v>
      </c>
      <c r="R81" s="4">
        <f>SUM(Table1_1[[#This Row],[Fuel_Cost_INR]:[Operating_Cost_INR]])</f>
        <v>2389589</v>
      </c>
      <c r="S81" s="4">
        <f>Table1_1[[#This Row],[Total_Revenue]]-Table1_1[[#This Row],[Total_Cost]]</f>
        <v>-1814560</v>
      </c>
      <c r="T81" s="9">
        <f>(Table1_1[[#This Row],[Total_Profit]]/Table1_1[[#This Row],[Total_Revenue]])</f>
        <v>-3.1555973698717805</v>
      </c>
      <c r="U81" s="5">
        <v>22</v>
      </c>
      <c r="V81" s="6" t="s">
        <v>18</v>
      </c>
      <c r="W81" s="8">
        <v>4.7</v>
      </c>
      <c r="X81" t="str" cm="1">
        <f t="array" ref="X81">_xlfn.IFS(Table1_1[[#This Row],[Customer_Rating]]&lt;3,"Poor",Table1_1[[#This Row],[Customer_Rating]]&lt;4,"Good",Table1_1[[#This Row],[Customer_Rating]]&gt;=4,"Excellent")</f>
        <v>Excellent</v>
      </c>
    </row>
    <row r="82" spans="1:24" x14ac:dyDescent="0.35">
      <c r="A82" s="2" t="s">
        <v>179</v>
      </c>
      <c r="B82" s="3">
        <v>45941</v>
      </c>
      <c r="C82" s="3" t="str">
        <f>TEXT(Table1_1[[#This Row],[Date]],"YYYY")</f>
        <v>2025</v>
      </c>
      <c r="D82" s="3" t="str">
        <f>TEXT(Table1_1[[#This Row],[Date]],"mmm")</f>
        <v>Oct</v>
      </c>
      <c r="E82" s="2" t="s">
        <v>16</v>
      </c>
      <c r="F82" s="2" t="str">
        <f>INDEX(IndiGo_Flight_Data!$R$2:$R$11,MATCH(Table1_1[[#This Row],[Route]],_xlfn.ANCHORARRAY(IndiGo_Flight_Data!$Q$2),0))</f>
        <v>Delhi - Goa</v>
      </c>
      <c r="G82" s="2" t="s">
        <v>43</v>
      </c>
      <c r="H82">
        <v>203</v>
      </c>
      <c r="I82">
        <v>232</v>
      </c>
      <c r="J82">
        <f>Table1_1[[#This Row],[Seat_Capacity]]-Table1_1[[#This Row],[Passengers]]</f>
        <v>29</v>
      </c>
      <c r="K82">
        <v>87.5</v>
      </c>
      <c r="L82" t="str" cm="1">
        <f t="array" ref="L82">_xlfn.IFS(Table1_1[[#This Row],[Load_Factor_%]]&lt;60,"Low",Table1_1[[#This Row],[Load_Factor_%]]&lt;85,"Intermediate",Table1_1[[#This Row],[Load_Factor_%]]&gt;=85,"High")</f>
        <v>High</v>
      </c>
      <c r="M82" s="4">
        <v>1737451</v>
      </c>
      <c r="N82" s="4">
        <v>138870</v>
      </c>
      <c r="O82" s="4">
        <f>SUM(Table1_1[[#This Row],[Ticket_Revenue_INR]:[Cargo_Revenue_INR]])</f>
        <v>1876321</v>
      </c>
      <c r="P82" s="4">
        <v>1052002</v>
      </c>
      <c r="Q82" s="4">
        <v>1746366</v>
      </c>
      <c r="R82" s="4">
        <f>SUM(Table1_1[[#This Row],[Fuel_Cost_INR]:[Operating_Cost_INR]])</f>
        <v>2798368</v>
      </c>
      <c r="S82" s="4">
        <f>Table1_1[[#This Row],[Total_Revenue]]-Table1_1[[#This Row],[Total_Cost]]</f>
        <v>-922047</v>
      </c>
      <c r="T82" s="9">
        <f>(Table1_1[[#This Row],[Total_Profit]]/Table1_1[[#This Row],[Total_Revenue]])</f>
        <v>-0.49141218373615175</v>
      </c>
      <c r="U82" s="5">
        <v>24</v>
      </c>
      <c r="V82" s="6" t="s">
        <v>18</v>
      </c>
      <c r="W82" s="8">
        <v>3.8</v>
      </c>
      <c r="X82" t="str" cm="1">
        <f t="array" ref="X82">_xlfn.IFS(Table1_1[[#This Row],[Customer_Rating]]&lt;3,"Poor",Table1_1[[#This Row],[Customer_Rating]]&lt;4,"Good",Table1_1[[#This Row],[Customer_Rating]]&gt;=4,"Excellent")</f>
        <v>Good</v>
      </c>
    </row>
    <row r="83" spans="1:24" x14ac:dyDescent="0.35">
      <c r="A83" s="2" t="s">
        <v>181</v>
      </c>
      <c r="B83" s="3">
        <v>45822</v>
      </c>
      <c r="C83" s="3" t="str">
        <f>TEXT(Table1_1[[#This Row],[Date]],"YYYY")</f>
        <v>2025</v>
      </c>
      <c r="D83" s="3" t="str">
        <f>TEXT(Table1_1[[#This Row],[Date]],"mmm")</f>
        <v>Jun</v>
      </c>
      <c r="E83" s="2" t="s">
        <v>29</v>
      </c>
      <c r="F83" s="2" t="str">
        <f>INDEX(IndiGo_Flight_Data!$R$2:$R$11,MATCH(Table1_1[[#This Row],[Route]],_xlfn.ANCHORARRAY(IndiGo_Flight_Data!$Q$2),0))</f>
        <v>Calacatta - Delhi</v>
      </c>
      <c r="G83" s="2" t="s">
        <v>17</v>
      </c>
      <c r="H83">
        <v>60</v>
      </c>
      <c r="I83">
        <v>78</v>
      </c>
      <c r="J83">
        <f>Table1_1[[#This Row],[Seat_Capacity]]-Table1_1[[#This Row],[Passengers]]</f>
        <v>18</v>
      </c>
      <c r="K83">
        <v>76.92</v>
      </c>
      <c r="L83" t="str" cm="1">
        <f t="array" ref="L83">_xlfn.IFS(Table1_1[[#This Row],[Load_Factor_%]]&lt;60,"Low",Table1_1[[#This Row],[Load_Factor_%]]&lt;85,"Intermediate",Table1_1[[#This Row],[Load_Factor_%]]&gt;=85,"High")</f>
        <v>Intermediate</v>
      </c>
      <c r="M83" s="4">
        <v>286043</v>
      </c>
      <c r="N83" s="4">
        <v>92365</v>
      </c>
      <c r="O83" s="4">
        <f>SUM(Table1_1[[#This Row],[Ticket_Revenue_INR]:[Cargo_Revenue_INR]])</f>
        <v>378408</v>
      </c>
      <c r="P83" s="4">
        <v>894411</v>
      </c>
      <c r="Q83" s="4">
        <v>1564185</v>
      </c>
      <c r="R83" s="4">
        <f>SUM(Table1_1[[#This Row],[Fuel_Cost_INR]:[Operating_Cost_INR]])</f>
        <v>2458596</v>
      </c>
      <c r="S83" s="4">
        <f>Table1_1[[#This Row],[Total_Revenue]]-Table1_1[[#This Row],[Total_Cost]]</f>
        <v>-2080188</v>
      </c>
      <c r="T83" s="9">
        <f>(Table1_1[[#This Row],[Total_Profit]]/Table1_1[[#This Row],[Total_Revenue]])</f>
        <v>-5.4972093613242849</v>
      </c>
      <c r="U83" s="5">
        <v>68</v>
      </c>
      <c r="V83" s="6" t="s">
        <v>18</v>
      </c>
      <c r="W83" s="8">
        <v>3.3</v>
      </c>
      <c r="X83" t="str" cm="1">
        <f t="array" ref="X83">_xlfn.IFS(Table1_1[[#This Row],[Customer_Rating]]&lt;3,"Poor",Table1_1[[#This Row],[Customer_Rating]]&lt;4,"Good",Table1_1[[#This Row],[Customer_Rating]]&gt;=4,"Excellent")</f>
        <v>Good</v>
      </c>
    </row>
    <row r="84" spans="1:24" x14ac:dyDescent="0.35">
      <c r="A84" s="2" t="s">
        <v>183</v>
      </c>
      <c r="B84" s="3">
        <v>45948</v>
      </c>
      <c r="C84" s="3" t="str">
        <f>TEXT(Table1_1[[#This Row],[Date]],"YYYY")</f>
        <v>2025</v>
      </c>
      <c r="D84" s="3" t="str">
        <f>TEXT(Table1_1[[#This Row],[Date]],"mmm")</f>
        <v>Oct</v>
      </c>
      <c r="E84" s="2" t="s">
        <v>36</v>
      </c>
      <c r="F84" s="2" t="str">
        <f>INDEX(IndiGo_Flight_Data!$R$2:$R$11,MATCH(Table1_1[[#This Row],[Route]],_xlfn.ANCHORARRAY(IndiGo_Flight_Data!$Q$2),0))</f>
        <v>Delhi - Bombay</v>
      </c>
      <c r="G84" s="2" t="s">
        <v>43</v>
      </c>
      <c r="H84">
        <v>219</v>
      </c>
      <c r="I84">
        <v>232</v>
      </c>
      <c r="J84">
        <f>Table1_1[[#This Row],[Seat_Capacity]]-Table1_1[[#This Row],[Passengers]]</f>
        <v>13</v>
      </c>
      <c r="K84">
        <v>94.4</v>
      </c>
      <c r="L84" t="str" cm="1">
        <f t="array" ref="L84">_xlfn.IFS(Table1_1[[#This Row],[Load_Factor_%]]&lt;60,"Low",Table1_1[[#This Row],[Load_Factor_%]]&lt;85,"Intermediate",Table1_1[[#This Row],[Load_Factor_%]]&gt;=85,"High")</f>
        <v>High</v>
      </c>
      <c r="M84" s="4">
        <v>1797421</v>
      </c>
      <c r="N84" s="4">
        <v>102253</v>
      </c>
      <c r="O84" s="4">
        <f>SUM(Table1_1[[#This Row],[Ticket_Revenue_INR]:[Cargo_Revenue_INR]])</f>
        <v>1899674</v>
      </c>
      <c r="P84" s="4">
        <v>522232</v>
      </c>
      <c r="Q84" s="4">
        <v>1079369</v>
      </c>
      <c r="R84" s="4">
        <f>SUM(Table1_1[[#This Row],[Fuel_Cost_INR]:[Operating_Cost_INR]])</f>
        <v>1601601</v>
      </c>
      <c r="S84" s="4">
        <f>Table1_1[[#This Row],[Total_Revenue]]-Table1_1[[#This Row],[Total_Cost]]</f>
        <v>298073</v>
      </c>
      <c r="T84" s="9">
        <f>(Table1_1[[#This Row],[Total_Profit]]/Table1_1[[#This Row],[Total_Revenue]])</f>
        <v>0.1569074483306083</v>
      </c>
      <c r="U84" s="5">
        <v>11</v>
      </c>
      <c r="V84" s="6" t="s">
        <v>33</v>
      </c>
      <c r="W84" s="8">
        <v>4.3</v>
      </c>
      <c r="X84" t="str" cm="1">
        <f t="array" ref="X84">_xlfn.IFS(Table1_1[[#This Row],[Customer_Rating]]&lt;3,"Poor",Table1_1[[#This Row],[Customer_Rating]]&lt;4,"Good",Table1_1[[#This Row],[Customer_Rating]]&gt;=4,"Excellent")</f>
        <v>Excellent</v>
      </c>
    </row>
    <row r="85" spans="1:24" x14ac:dyDescent="0.35">
      <c r="A85" s="2" t="s">
        <v>185</v>
      </c>
      <c r="B85" s="3">
        <v>45754</v>
      </c>
      <c r="C85" s="3" t="str">
        <f>TEXT(Table1_1[[#This Row],[Date]],"YYYY")</f>
        <v>2025</v>
      </c>
      <c r="D85" s="3" t="str">
        <f>TEXT(Table1_1[[#This Row],[Date]],"mmm")</f>
        <v>Apr</v>
      </c>
      <c r="E85" s="2" t="s">
        <v>39</v>
      </c>
      <c r="F85" s="2" t="str">
        <f>INDEX(IndiGo_Flight_Data!$R$2:$R$11,MATCH(Table1_1[[#This Row],[Route]],_xlfn.ANCHORARRAY(IndiGo_Flight_Data!$Q$2),0))</f>
        <v>Bengaluru - Delhi</v>
      </c>
      <c r="G85" s="2" t="s">
        <v>43</v>
      </c>
      <c r="H85">
        <v>158</v>
      </c>
      <c r="I85">
        <v>232</v>
      </c>
      <c r="J85">
        <f>Table1_1[[#This Row],[Seat_Capacity]]-Table1_1[[#This Row],[Passengers]]</f>
        <v>74</v>
      </c>
      <c r="K85">
        <v>68.099999999999994</v>
      </c>
      <c r="L85" t="str" cm="1">
        <f t="array" ref="L85">_xlfn.IFS(Table1_1[[#This Row],[Load_Factor_%]]&lt;60,"Low",Table1_1[[#This Row],[Load_Factor_%]]&lt;85,"Intermediate",Table1_1[[#This Row],[Load_Factor_%]]&gt;=85,"High")</f>
        <v>Intermediate</v>
      </c>
      <c r="M85" s="4">
        <v>959305</v>
      </c>
      <c r="N85" s="4">
        <v>100913</v>
      </c>
      <c r="O85" s="4">
        <f>SUM(Table1_1[[#This Row],[Ticket_Revenue_INR]:[Cargo_Revenue_INR]])</f>
        <v>1060218</v>
      </c>
      <c r="P85" s="4">
        <v>911214</v>
      </c>
      <c r="Q85" s="4">
        <v>1213302</v>
      </c>
      <c r="R85" s="4">
        <f>SUM(Table1_1[[#This Row],[Fuel_Cost_INR]:[Operating_Cost_INR]])</f>
        <v>2124516</v>
      </c>
      <c r="S85" s="4">
        <f>Table1_1[[#This Row],[Total_Revenue]]-Table1_1[[#This Row],[Total_Cost]]</f>
        <v>-1064298</v>
      </c>
      <c r="T85" s="9">
        <f>(Table1_1[[#This Row],[Total_Profit]]/Table1_1[[#This Row],[Total_Revenue]])</f>
        <v>-1.0038482651681069</v>
      </c>
      <c r="U85" s="5">
        <v>41</v>
      </c>
      <c r="V85" s="6" t="s">
        <v>18</v>
      </c>
      <c r="W85" s="8">
        <v>3.3</v>
      </c>
      <c r="X85" t="str" cm="1">
        <f t="array" ref="X85">_xlfn.IFS(Table1_1[[#This Row],[Customer_Rating]]&lt;3,"Poor",Table1_1[[#This Row],[Customer_Rating]]&lt;4,"Good",Table1_1[[#This Row],[Customer_Rating]]&gt;=4,"Excellent")</f>
        <v>Good</v>
      </c>
    </row>
    <row r="86" spans="1:24" x14ac:dyDescent="0.35">
      <c r="A86" s="2" t="s">
        <v>186</v>
      </c>
      <c r="B86" s="3">
        <v>45987</v>
      </c>
      <c r="C86" s="3" t="str">
        <f>TEXT(Table1_1[[#This Row],[Date]],"YYYY")</f>
        <v>2025</v>
      </c>
      <c r="D86" s="3" t="str">
        <f>TEXT(Table1_1[[#This Row],[Date]],"mmm")</f>
        <v>Nov</v>
      </c>
      <c r="E86" s="2" t="s">
        <v>16</v>
      </c>
      <c r="F86" s="2" t="str">
        <f>INDEX(IndiGo_Flight_Data!$R$2:$R$11,MATCH(Table1_1[[#This Row],[Route]],_xlfn.ANCHORARRAY(IndiGo_Flight_Data!$Q$2),0))</f>
        <v>Delhi - Goa</v>
      </c>
      <c r="G86" s="2" t="s">
        <v>24</v>
      </c>
      <c r="H86">
        <v>146</v>
      </c>
      <c r="I86">
        <v>180</v>
      </c>
      <c r="J86">
        <f>Table1_1[[#This Row],[Seat_Capacity]]-Table1_1[[#This Row],[Passengers]]</f>
        <v>34</v>
      </c>
      <c r="K86">
        <v>81.11</v>
      </c>
      <c r="L86" t="str" cm="1">
        <f t="array" ref="L86">_xlfn.IFS(Table1_1[[#This Row],[Load_Factor_%]]&lt;60,"Low",Table1_1[[#This Row],[Load_Factor_%]]&lt;85,"Intermediate",Table1_1[[#This Row],[Load_Factor_%]]&gt;=85,"High")</f>
        <v>Intermediate</v>
      </c>
      <c r="M86" s="4">
        <v>606220</v>
      </c>
      <c r="N86" s="4">
        <v>19511</v>
      </c>
      <c r="O86" s="4">
        <f>SUM(Table1_1[[#This Row],[Ticket_Revenue_INR]:[Cargo_Revenue_INR]])</f>
        <v>625731</v>
      </c>
      <c r="P86" s="4">
        <v>1103754</v>
      </c>
      <c r="Q86" s="4">
        <v>1706292</v>
      </c>
      <c r="R86" s="4">
        <f>SUM(Table1_1[[#This Row],[Fuel_Cost_INR]:[Operating_Cost_INR]])</f>
        <v>2810046</v>
      </c>
      <c r="S86" s="4">
        <f>Table1_1[[#This Row],[Total_Revenue]]-Table1_1[[#This Row],[Total_Cost]]</f>
        <v>-2184315</v>
      </c>
      <c r="T86" s="9">
        <f>(Table1_1[[#This Row],[Total_Profit]]/Table1_1[[#This Row],[Total_Revenue]])</f>
        <v>-3.4908211355998024</v>
      </c>
      <c r="U86" s="5">
        <v>21</v>
      </c>
      <c r="V86" s="6" t="s">
        <v>18</v>
      </c>
      <c r="W86" s="8">
        <v>4.7</v>
      </c>
      <c r="X86" t="str" cm="1">
        <f t="array" ref="X86">_xlfn.IFS(Table1_1[[#This Row],[Customer_Rating]]&lt;3,"Poor",Table1_1[[#This Row],[Customer_Rating]]&lt;4,"Good",Table1_1[[#This Row],[Customer_Rating]]&gt;=4,"Excellent")</f>
        <v>Excellent</v>
      </c>
    </row>
    <row r="87" spans="1:24" x14ac:dyDescent="0.35">
      <c r="A87" s="2" t="s">
        <v>188</v>
      </c>
      <c r="B87" s="3">
        <v>45885</v>
      </c>
      <c r="C87" s="3" t="str">
        <f>TEXT(Table1_1[[#This Row],[Date]],"YYYY")</f>
        <v>2025</v>
      </c>
      <c r="D87" s="3" t="str">
        <f>TEXT(Table1_1[[#This Row],[Date]],"mmm")</f>
        <v>Aug</v>
      </c>
      <c r="E87" s="2" t="s">
        <v>59</v>
      </c>
      <c r="F87" s="2" t="str">
        <f>INDEX(IndiGo_Flight_Data!$R$2:$R$11,MATCH(Table1_1[[#This Row],[Route]],_xlfn.ANCHORARRAY(IndiGo_Flight_Data!$Q$2),0))</f>
        <v>Bengaluru - Bombay</v>
      </c>
      <c r="G87" s="2" t="s">
        <v>17</v>
      </c>
      <c r="H87">
        <v>66</v>
      </c>
      <c r="I87">
        <v>78</v>
      </c>
      <c r="J87">
        <f>Table1_1[[#This Row],[Seat_Capacity]]-Table1_1[[#This Row],[Passengers]]</f>
        <v>12</v>
      </c>
      <c r="K87">
        <v>84.62</v>
      </c>
      <c r="L87" t="str" cm="1">
        <f t="array" ref="L87">_xlfn.IFS(Table1_1[[#This Row],[Load_Factor_%]]&lt;60,"Low",Table1_1[[#This Row],[Load_Factor_%]]&lt;85,"Intermediate",Table1_1[[#This Row],[Load_Factor_%]]&gt;=85,"High")</f>
        <v>Intermediate</v>
      </c>
      <c r="M87" s="4">
        <v>507608</v>
      </c>
      <c r="N87" s="4">
        <v>67529</v>
      </c>
      <c r="O87" s="4">
        <f>SUM(Table1_1[[#This Row],[Ticket_Revenue_INR]:[Cargo_Revenue_INR]])</f>
        <v>575137</v>
      </c>
      <c r="P87" s="4">
        <v>807416</v>
      </c>
      <c r="Q87" s="4">
        <v>975948</v>
      </c>
      <c r="R87" s="4">
        <f>SUM(Table1_1[[#This Row],[Fuel_Cost_INR]:[Operating_Cost_INR]])</f>
        <v>1783364</v>
      </c>
      <c r="S87" s="4">
        <f>Table1_1[[#This Row],[Total_Revenue]]-Table1_1[[#This Row],[Total_Cost]]</f>
        <v>-1208227</v>
      </c>
      <c r="T87" s="9">
        <f>(Table1_1[[#This Row],[Total_Profit]]/Table1_1[[#This Row],[Total_Revenue]])</f>
        <v>-2.1007638180120565</v>
      </c>
      <c r="U87" s="5">
        <v>71</v>
      </c>
      <c r="V87" s="6" t="s">
        <v>18</v>
      </c>
      <c r="W87" s="8">
        <v>3.6</v>
      </c>
      <c r="X87" t="str" cm="1">
        <f t="array" ref="X87">_xlfn.IFS(Table1_1[[#This Row],[Customer_Rating]]&lt;3,"Poor",Table1_1[[#This Row],[Customer_Rating]]&lt;4,"Good",Table1_1[[#This Row],[Customer_Rating]]&gt;=4,"Excellent")</f>
        <v>Good</v>
      </c>
    </row>
    <row r="88" spans="1:24" x14ac:dyDescent="0.35">
      <c r="A88" s="2" t="s">
        <v>190</v>
      </c>
      <c r="B88" s="3">
        <v>45996</v>
      </c>
      <c r="C88" s="3" t="str">
        <f>TEXT(Table1_1[[#This Row],[Date]],"YYYY")</f>
        <v>2025</v>
      </c>
      <c r="D88" s="3" t="str">
        <f>TEXT(Table1_1[[#This Row],[Date]],"mmm")</f>
        <v>Dec</v>
      </c>
      <c r="E88" s="2" t="s">
        <v>76</v>
      </c>
      <c r="F88" s="2" t="str">
        <f>INDEX(IndiGo_Flight_Data!$R$2:$R$11,MATCH(Table1_1[[#This Row],[Route]],_xlfn.ANCHORARRAY(IndiGo_Flight_Data!$Q$2),0))</f>
        <v>Madras - Delhi</v>
      </c>
      <c r="G88" s="2" t="s">
        <v>24</v>
      </c>
      <c r="H88">
        <v>133</v>
      </c>
      <c r="I88">
        <v>180</v>
      </c>
      <c r="J88">
        <f>Table1_1[[#This Row],[Seat_Capacity]]-Table1_1[[#This Row],[Passengers]]</f>
        <v>47</v>
      </c>
      <c r="K88">
        <v>73.89</v>
      </c>
      <c r="L88" t="str" cm="1">
        <f t="array" ref="L88">_xlfn.IFS(Table1_1[[#This Row],[Load_Factor_%]]&lt;60,"Low",Table1_1[[#This Row],[Load_Factor_%]]&lt;85,"Intermediate",Table1_1[[#This Row],[Load_Factor_%]]&gt;=85,"High")</f>
        <v>Intermediate</v>
      </c>
      <c r="M88" s="4">
        <v>537296</v>
      </c>
      <c r="N88" s="4">
        <v>78707</v>
      </c>
      <c r="O88" s="4">
        <f>SUM(Table1_1[[#This Row],[Ticket_Revenue_INR]:[Cargo_Revenue_INR]])</f>
        <v>616003</v>
      </c>
      <c r="P88" s="4">
        <v>702370</v>
      </c>
      <c r="Q88" s="4">
        <v>1084662</v>
      </c>
      <c r="R88" s="4">
        <f>SUM(Table1_1[[#This Row],[Fuel_Cost_INR]:[Operating_Cost_INR]])</f>
        <v>1787032</v>
      </c>
      <c r="S88" s="4">
        <f>Table1_1[[#This Row],[Total_Revenue]]-Table1_1[[#This Row],[Total_Cost]]</f>
        <v>-1171029</v>
      </c>
      <c r="T88" s="9">
        <f>(Table1_1[[#This Row],[Total_Profit]]/Table1_1[[#This Row],[Total_Revenue]])</f>
        <v>-1.9010118457215306</v>
      </c>
      <c r="U88" s="5">
        <v>30</v>
      </c>
      <c r="V88" s="6" t="s">
        <v>18</v>
      </c>
      <c r="W88" s="8">
        <v>3.4</v>
      </c>
      <c r="X88" t="str" cm="1">
        <f t="array" ref="X88">_xlfn.IFS(Table1_1[[#This Row],[Customer_Rating]]&lt;3,"Poor",Table1_1[[#This Row],[Customer_Rating]]&lt;4,"Good",Table1_1[[#This Row],[Customer_Rating]]&gt;=4,"Excellent")</f>
        <v>Good</v>
      </c>
    </row>
    <row r="89" spans="1:24" x14ac:dyDescent="0.35">
      <c r="A89" s="2" t="s">
        <v>192</v>
      </c>
      <c r="B89" s="3">
        <v>45930</v>
      </c>
      <c r="C89" s="3" t="str">
        <f>TEXT(Table1_1[[#This Row],[Date]],"YYYY")</f>
        <v>2025</v>
      </c>
      <c r="D89" s="3" t="str">
        <f>TEXT(Table1_1[[#This Row],[Date]],"mmm")</f>
        <v>Sep</v>
      </c>
      <c r="E89" s="2" t="s">
        <v>36</v>
      </c>
      <c r="F89" s="2" t="str">
        <f>INDEX(IndiGo_Flight_Data!$R$2:$R$11,MATCH(Table1_1[[#This Row],[Route]],_xlfn.ANCHORARRAY(IndiGo_Flight_Data!$Q$2),0))</f>
        <v>Delhi - Bombay</v>
      </c>
      <c r="G89" s="2" t="s">
        <v>43</v>
      </c>
      <c r="H89">
        <v>206</v>
      </c>
      <c r="I89">
        <v>232</v>
      </c>
      <c r="J89">
        <f>Table1_1[[#This Row],[Seat_Capacity]]-Table1_1[[#This Row],[Passengers]]</f>
        <v>26</v>
      </c>
      <c r="K89">
        <v>88.79</v>
      </c>
      <c r="L89" t="str" cm="1">
        <f t="array" ref="L89">_xlfn.IFS(Table1_1[[#This Row],[Load_Factor_%]]&lt;60,"Low",Table1_1[[#This Row],[Load_Factor_%]]&lt;85,"Intermediate",Table1_1[[#This Row],[Load_Factor_%]]&gt;=85,"High")</f>
        <v>High</v>
      </c>
      <c r="M89" s="4">
        <v>1840052</v>
      </c>
      <c r="N89" s="4">
        <v>68093</v>
      </c>
      <c r="O89" s="4">
        <f>SUM(Table1_1[[#This Row],[Ticket_Revenue_INR]:[Cargo_Revenue_INR]])</f>
        <v>1908145</v>
      </c>
      <c r="P89" s="4">
        <v>1028906</v>
      </c>
      <c r="Q89" s="4">
        <v>1626106</v>
      </c>
      <c r="R89" s="4">
        <f>SUM(Table1_1[[#This Row],[Fuel_Cost_INR]:[Operating_Cost_INR]])</f>
        <v>2655012</v>
      </c>
      <c r="S89" s="4">
        <f>Table1_1[[#This Row],[Total_Revenue]]-Table1_1[[#This Row],[Total_Cost]]</f>
        <v>-746867</v>
      </c>
      <c r="T89" s="9">
        <f>(Table1_1[[#This Row],[Total_Profit]]/Table1_1[[#This Row],[Total_Revenue]])</f>
        <v>-0.3914099819458165</v>
      </c>
      <c r="U89" s="5">
        <v>49</v>
      </c>
      <c r="V89" s="6" t="s">
        <v>18</v>
      </c>
      <c r="W89" s="8">
        <v>4.2</v>
      </c>
      <c r="X89" t="str" cm="1">
        <f t="array" ref="X89">_xlfn.IFS(Table1_1[[#This Row],[Customer_Rating]]&lt;3,"Poor",Table1_1[[#This Row],[Customer_Rating]]&lt;4,"Good",Table1_1[[#This Row],[Customer_Rating]]&gt;=4,"Excellent")</f>
        <v>Excellent</v>
      </c>
    </row>
    <row r="90" spans="1:24" x14ac:dyDescent="0.35">
      <c r="A90" s="2" t="s">
        <v>194</v>
      </c>
      <c r="B90" s="3">
        <v>46012</v>
      </c>
      <c r="C90" s="3" t="str">
        <f>TEXT(Table1_1[[#This Row],[Date]],"YYYY")</f>
        <v>2025</v>
      </c>
      <c r="D90" s="3" t="str">
        <f>TEXT(Table1_1[[#This Row],[Date]],"mmm")</f>
        <v>Dec</v>
      </c>
      <c r="E90" s="2" t="s">
        <v>117</v>
      </c>
      <c r="F90" s="2" t="str">
        <f>INDEX(IndiGo_Flight_Data!$R$2:$R$11,MATCH(Table1_1[[#This Row],[Route]],_xlfn.ANCHORARRAY(IndiGo_Flight_Data!$Q$2),0))</f>
        <v>Bengaluru - Calacatta</v>
      </c>
      <c r="G90" s="2" t="s">
        <v>24</v>
      </c>
      <c r="H90">
        <v>138</v>
      </c>
      <c r="I90">
        <v>180</v>
      </c>
      <c r="J90">
        <f>Table1_1[[#This Row],[Seat_Capacity]]-Table1_1[[#This Row],[Passengers]]</f>
        <v>42</v>
      </c>
      <c r="K90">
        <v>76.67</v>
      </c>
      <c r="L90" t="str" cm="1">
        <f t="array" ref="L90">_xlfn.IFS(Table1_1[[#This Row],[Load_Factor_%]]&lt;60,"Low",Table1_1[[#This Row],[Load_Factor_%]]&lt;85,"Intermediate",Table1_1[[#This Row],[Load_Factor_%]]&gt;=85,"High")</f>
        <v>Intermediate</v>
      </c>
      <c r="M90" s="4">
        <v>979309</v>
      </c>
      <c r="N90" s="4">
        <v>59594</v>
      </c>
      <c r="O90" s="4">
        <f>SUM(Table1_1[[#This Row],[Ticket_Revenue_INR]:[Cargo_Revenue_INR]])</f>
        <v>1038903</v>
      </c>
      <c r="P90" s="4">
        <v>986061</v>
      </c>
      <c r="Q90" s="4">
        <v>1665283</v>
      </c>
      <c r="R90" s="4">
        <f>SUM(Table1_1[[#This Row],[Fuel_Cost_INR]:[Operating_Cost_INR]])</f>
        <v>2651344</v>
      </c>
      <c r="S90" s="4">
        <f>Table1_1[[#This Row],[Total_Revenue]]-Table1_1[[#This Row],[Total_Cost]]</f>
        <v>-1612441</v>
      </c>
      <c r="T90" s="9">
        <f>(Table1_1[[#This Row],[Total_Profit]]/Table1_1[[#This Row],[Total_Revenue]])</f>
        <v>-1.5520611645168028</v>
      </c>
      <c r="U90" s="5">
        <v>17</v>
      </c>
      <c r="V90" s="6" t="s">
        <v>18</v>
      </c>
      <c r="W90" s="8">
        <v>4.8</v>
      </c>
      <c r="X90" t="str" cm="1">
        <f t="array" ref="X90">_xlfn.IFS(Table1_1[[#This Row],[Customer_Rating]]&lt;3,"Poor",Table1_1[[#This Row],[Customer_Rating]]&lt;4,"Good",Table1_1[[#This Row],[Customer_Rating]]&gt;=4,"Excellent")</f>
        <v>Excellent</v>
      </c>
    </row>
    <row r="91" spans="1:24" x14ac:dyDescent="0.35">
      <c r="A91" s="2" t="s">
        <v>196</v>
      </c>
      <c r="B91" s="3">
        <v>45883</v>
      </c>
      <c r="C91" s="3" t="str">
        <f>TEXT(Table1_1[[#This Row],[Date]],"YYYY")</f>
        <v>2025</v>
      </c>
      <c r="D91" s="3" t="str">
        <f>TEXT(Table1_1[[#This Row],[Date]],"mmm")</f>
        <v>Aug</v>
      </c>
      <c r="E91" s="2" t="s">
        <v>59</v>
      </c>
      <c r="F91" s="2" t="str">
        <f>INDEX(IndiGo_Flight_Data!$R$2:$R$11,MATCH(Table1_1[[#This Row],[Route]],_xlfn.ANCHORARRAY(IndiGo_Flight_Data!$Q$2),0))</f>
        <v>Bengaluru - Bombay</v>
      </c>
      <c r="G91" s="2" t="s">
        <v>17</v>
      </c>
      <c r="H91">
        <v>70</v>
      </c>
      <c r="I91">
        <v>78</v>
      </c>
      <c r="J91">
        <f>Table1_1[[#This Row],[Seat_Capacity]]-Table1_1[[#This Row],[Passengers]]</f>
        <v>8</v>
      </c>
      <c r="K91">
        <v>89.74</v>
      </c>
      <c r="L91" t="str" cm="1">
        <f t="array" ref="L91">_xlfn.IFS(Table1_1[[#This Row],[Load_Factor_%]]&lt;60,"Low",Table1_1[[#This Row],[Load_Factor_%]]&lt;85,"Intermediate",Table1_1[[#This Row],[Load_Factor_%]]&gt;=85,"High")</f>
        <v>High</v>
      </c>
      <c r="M91" s="4">
        <v>566944</v>
      </c>
      <c r="N91" s="4">
        <v>148597</v>
      </c>
      <c r="O91" s="4">
        <f>SUM(Table1_1[[#This Row],[Ticket_Revenue_INR]:[Cargo_Revenue_INR]])</f>
        <v>715541</v>
      </c>
      <c r="P91" s="4">
        <v>778277</v>
      </c>
      <c r="Q91" s="4">
        <v>914908</v>
      </c>
      <c r="R91" s="4">
        <f>SUM(Table1_1[[#This Row],[Fuel_Cost_INR]:[Operating_Cost_INR]])</f>
        <v>1693185</v>
      </c>
      <c r="S91" s="4">
        <f>Table1_1[[#This Row],[Total_Revenue]]-Table1_1[[#This Row],[Total_Cost]]</f>
        <v>-977644</v>
      </c>
      <c r="T91" s="9">
        <f>(Table1_1[[#This Row],[Total_Profit]]/Table1_1[[#This Row],[Total_Revenue]])</f>
        <v>-1.3663004635653302</v>
      </c>
      <c r="U91" s="5">
        <v>65</v>
      </c>
      <c r="V91" s="6" t="s">
        <v>18</v>
      </c>
      <c r="W91" s="8">
        <v>3.9</v>
      </c>
      <c r="X91" t="str" cm="1">
        <f t="array" ref="X91">_xlfn.IFS(Table1_1[[#This Row],[Customer_Rating]]&lt;3,"Poor",Table1_1[[#This Row],[Customer_Rating]]&lt;4,"Good",Table1_1[[#This Row],[Customer_Rating]]&gt;=4,"Excellent")</f>
        <v>Good</v>
      </c>
    </row>
    <row r="92" spans="1:24" x14ac:dyDescent="0.35">
      <c r="A92" s="2" t="s">
        <v>198</v>
      </c>
      <c r="B92" s="3">
        <v>45773</v>
      </c>
      <c r="C92" s="3" t="str">
        <f>TEXT(Table1_1[[#This Row],[Date]],"YYYY")</f>
        <v>2025</v>
      </c>
      <c r="D92" s="3" t="str">
        <f>TEXT(Table1_1[[#This Row],[Date]],"mmm")</f>
        <v>Apr</v>
      </c>
      <c r="E92" s="2" t="s">
        <v>39</v>
      </c>
      <c r="F92" s="2" t="str">
        <f>INDEX(IndiGo_Flight_Data!$R$2:$R$11,MATCH(Table1_1[[#This Row],[Route]],_xlfn.ANCHORARRAY(IndiGo_Flight_Data!$Q$2),0))</f>
        <v>Bengaluru - Delhi</v>
      </c>
      <c r="G92" s="2" t="s">
        <v>43</v>
      </c>
      <c r="H92">
        <v>166</v>
      </c>
      <c r="I92">
        <v>232</v>
      </c>
      <c r="J92">
        <f>Table1_1[[#This Row],[Seat_Capacity]]-Table1_1[[#This Row],[Passengers]]</f>
        <v>66</v>
      </c>
      <c r="K92">
        <v>71.55</v>
      </c>
      <c r="L92" t="str" cm="1">
        <f t="array" ref="L92">_xlfn.IFS(Table1_1[[#This Row],[Load_Factor_%]]&lt;60,"Low",Table1_1[[#This Row],[Load_Factor_%]]&lt;85,"Intermediate",Table1_1[[#This Row],[Load_Factor_%]]&gt;=85,"High")</f>
        <v>Intermediate</v>
      </c>
      <c r="M92" s="4">
        <v>1423764</v>
      </c>
      <c r="N92" s="4">
        <v>89099</v>
      </c>
      <c r="O92" s="4">
        <f>SUM(Table1_1[[#This Row],[Ticket_Revenue_INR]:[Cargo_Revenue_INR]])</f>
        <v>1512863</v>
      </c>
      <c r="P92" s="4">
        <v>1103450</v>
      </c>
      <c r="Q92" s="4">
        <v>1267103</v>
      </c>
      <c r="R92" s="4">
        <f>SUM(Table1_1[[#This Row],[Fuel_Cost_INR]:[Operating_Cost_INR]])</f>
        <v>2370553</v>
      </c>
      <c r="S92" s="4">
        <f>Table1_1[[#This Row],[Total_Revenue]]-Table1_1[[#This Row],[Total_Cost]]</f>
        <v>-857690</v>
      </c>
      <c r="T92" s="9">
        <f>(Table1_1[[#This Row],[Total_Profit]]/Table1_1[[#This Row],[Total_Revenue]])</f>
        <v>-0.56693170498584466</v>
      </c>
      <c r="U92" s="5">
        <v>81</v>
      </c>
      <c r="V92" s="6" t="s">
        <v>18</v>
      </c>
      <c r="W92" s="8">
        <v>4.4000000000000004</v>
      </c>
      <c r="X92" t="str" cm="1">
        <f t="array" ref="X92">_xlfn.IFS(Table1_1[[#This Row],[Customer_Rating]]&lt;3,"Poor",Table1_1[[#This Row],[Customer_Rating]]&lt;4,"Good",Table1_1[[#This Row],[Customer_Rating]]&gt;=4,"Excellent")</f>
        <v>Excellent</v>
      </c>
    </row>
    <row r="93" spans="1:24" x14ac:dyDescent="0.35">
      <c r="A93" s="2" t="s">
        <v>200</v>
      </c>
      <c r="B93" s="3">
        <v>45868</v>
      </c>
      <c r="C93" s="3" t="str">
        <f>TEXT(Table1_1[[#This Row],[Date]],"YYYY")</f>
        <v>2025</v>
      </c>
      <c r="D93" s="3" t="str">
        <f>TEXT(Table1_1[[#This Row],[Date]],"mmm")</f>
        <v>Jul</v>
      </c>
      <c r="E93" s="2" t="s">
        <v>21</v>
      </c>
      <c r="F93" s="2" t="str">
        <f>INDEX(IndiGo_Flight_Data!$R$2:$R$11,MATCH(Table1_1[[#This Row],[Route]],_xlfn.ANCHORARRAY(IndiGo_Flight_Data!$Q$2),0))</f>
        <v>Bengaluru - Hyderabad</v>
      </c>
      <c r="G93" s="2" t="s">
        <v>24</v>
      </c>
      <c r="H93">
        <v>164</v>
      </c>
      <c r="I93">
        <v>180</v>
      </c>
      <c r="J93">
        <f>Table1_1[[#This Row],[Seat_Capacity]]-Table1_1[[#This Row],[Passengers]]</f>
        <v>16</v>
      </c>
      <c r="K93">
        <v>91.11</v>
      </c>
      <c r="L93" t="str" cm="1">
        <f t="array" ref="L93">_xlfn.IFS(Table1_1[[#This Row],[Load_Factor_%]]&lt;60,"Low",Table1_1[[#This Row],[Load_Factor_%]]&lt;85,"Intermediate",Table1_1[[#This Row],[Load_Factor_%]]&gt;=85,"High")</f>
        <v>High</v>
      </c>
      <c r="M93" s="4">
        <v>910667</v>
      </c>
      <c r="N93" s="4">
        <v>65720</v>
      </c>
      <c r="O93" s="4">
        <f>SUM(Table1_1[[#This Row],[Ticket_Revenue_INR]:[Cargo_Revenue_INR]])</f>
        <v>976387</v>
      </c>
      <c r="P93" s="4">
        <v>718374</v>
      </c>
      <c r="Q93" s="4">
        <v>913979</v>
      </c>
      <c r="R93" s="4">
        <f>SUM(Table1_1[[#This Row],[Fuel_Cost_INR]:[Operating_Cost_INR]])</f>
        <v>1632353</v>
      </c>
      <c r="S93" s="4">
        <f>Table1_1[[#This Row],[Total_Revenue]]-Table1_1[[#This Row],[Total_Cost]]</f>
        <v>-655966</v>
      </c>
      <c r="T93" s="9">
        <f>(Table1_1[[#This Row],[Total_Profit]]/Table1_1[[#This Row],[Total_Revenue]])</f>
        <v>-0.67182991989856478</v>
      </c>
      <c r="U93" s="5">
        <v>84</v>
      </c>
      <c r="V93" s="6" t="s">
        <v>18</v>
      </c>
      <c r="W93" s="8">
        <v>3.3</v>
      </c>
      <c r="X93" t="str" cm="1">
        <f t="array" ref="X93">_xlfn.IFS(Table1_1[[#This Row],[Customer_Rating]]&lt;3,"Poor",Table1_1[[#This Row],[Customer_Rating]]&lt;4,"Good",Table1_1[[#This Row],[Customer_Rating]]&gt;=4,"Excellent")</f>
        <v>Good</v>
      </c>
    </row>
    <row r="94" spans="1:24" x14ac:dyDescent="0.35">
      <c r="A94" s="2" t="s">
        <v>201</v>
      </c>
      <c r="B94" s="3">
        <v>45877</v>
      </c>
      <c r="C94" s="3" t="str">
        <f>TEXT(Table1_1[[#This Row],[Date]],"YYYY")</f>
        <v>2025</v>
      </c>
      <c r="D94" s="3" t="str">
        <f>TEXT(Table1_1[[#This Row],[Date]],"mmm")</f>
        <v>Aug</v>
      </c>
      <c r="E94" s="2" t="s">
        <v>42</v>
      </c>
      <c r="F94" s="2" t="str">
        <f>INDEX(IndiGo_Flight_Data!$R$2:$R$11,MATCH(Table1_1[[#This Row],[Route]],_xlfn.ANCHORARRAY(IndiGo_Flight_Data!$Q$2),0))</f>
        <v>Bombay - Hyderabad</v>
      </c>
      <c r="G94" s="2" t="s">
        <v>17</v>
      </c>
      <c r="H94">
        <v>75</v>
      </c>
      <c r="I94">
        <v>78</v>
      </c>
      <c r="J94">
        <f>Table1_1[[#This Row],[Seat_Capacity]]-Table1_1[[#This Row],[Passengers]]</f>
        <v>3</v>
      </c>
      <c r="K94">
        <v>96.15</v>
      </c>
      <c r="L94" t="str" cm="1">
        <f t="array" ref="L94">_xlfn.IFS(Table1_1[[#This Row],[Load_Factor_%]]&lt;60,"Low",Table1_1[[#This Row],[Load_Factor_%]]&lt;85,"Intermediate",Table1_1[[#This Row],[Load_Factor_%]]&gt;=85,"High")</f>
        <v>High</v>
      </c>
      <c r="M94" s="4">
        <v>273812</v>
      </c>
      <c r="N94" s="4">
        <v>37879</v>
      </c>
      <c r="O94" s="4">
        <f>SUM(Table1_1[[#This Row],[Ticket_Revenue_INR]:[Cargo_Revenue_INR]])</f>
        <v>311691</v>
      </c>
      <c r="P94" s="4">
        <v>431708</v>
      </c>
      <c r="Q94" s="4">
        <v>816195</v>
      </c>
      <c r="R94" s="4">
        <f>SUM(Table1_1[[#This Row],[Fuel_Cost_INR]:[Operating_Cost_INR]])</f>
        <v>1247903</v>
      </c>
      <c r="S94" s="4">
        <f>Table1_1[[#This Row],[Total_Revenue]]-Table1_1[[#This Row],[Total_Cost]]</f>
        <v>-936212</v>
      </c>
      <c r="T94" s="9">
        <f>(Table1_1[[#This Row],[Total_Profit]]/Table1_1[[#This Row],[Total_Revenue]])</f>
        <v>-3.0036542601486729</v>
      </c>
      <c r="U94" s="5">
        <v>49</v>
      </c>
      <c r="V94" s="6" t="s">
        <v>18</v>
      </c>
      <c r="W94" s="8">
        <v>4.2</v>
      </c>
      <c r="X94" t="str" cm="1">
        <f t="array" ref="X94">_xlfn.IFS(Table1_1[[#This Row],[Customer_Rating]]&lt;3,"Poor",Table1_1[[#This Row],[Customer_Rating]]&lt;4,"Good",Table1_1[[#This Row],[Customer_Rating]]&gt;=4,"Excellent")</f>
        <v>Excellent</v>
      </c>
    </row>
    <row r="95" spans="1:24" x14ac:dyDescent="0.35">
      <c r="A95" s="2" t="s">
        <v>203</v>
      </c>
      <c r="B95" s="3">
        <v>45846</v>
      </c>
      <c r="C95" s="3" t="str">
        <f>TEXT(Table1_1[[#This Row],[Date]],"YYYY")</f>
        <v>2025</v>
      </c>
      <c r="D95" s="3" t="str">
        <f>TEXT(Table1_1[[#This Row],[Date]],"mmm")</f>
        <v>Jul</v>
      </c>
      <c r="E95" s="2" t="s">
        <v>39</v>
      </c>
      <c r="F95" s="2" t="str">
        <f>INDEX(IndiGo_Flight_Data!$R$2:$R$11,MATCH(Table1_1[[#This Row],[Route]],_xlfn.ANCHORARRAY(IndiGo_Flight_Data!$Q$2),0))</f>
        <v>Bengaluru - Delhi</v>
      </c>
      <c r="G95" s="2" t="s">
        <v>43</v>
      </c>
      <c r="H95">
        <v>188</v>
      </c>
      <c r="I95">
        <v>232</v>
      </c>
      <c r="J95">
        <f>Table1_1[[#This Row],[Seat_Capacity]]-Table1_1[[#This Row],[Passengers]]</f>
        <v>44</v>
      </c>
      <c r="K95">
        <v>81.03</v>
      </c>
      <c r="L95" t="str" cm="1">
        <f t="array" ref="L95">_xlfn.IFS(Table1_1[[#This Row],[Load_Factor_%]]&lt;60,"Low",Table1_1[[#This Row],[Load_Factor_%]]&lt;85,"Intermediate",Table1_1[[#This Row],[Load_Factor_%]]&gt;=85,"High")</f>
        <v>Intermediate</v>
      </c>
      <c r="M95" s="4">
        <v>1490579</v>
      </c>
      <c r="N95" s="4">
        <v>136217</v>
      </c>
      <c r="O95" s="4">
        <f>SUM(Table1_1[[#This Row],[Ticket_Revenue_INR]:[Cargo_Revenue_INR]])</f>
        <v>1626796</v>
      </c>
      <c r="P95" s="4">
        <v>1178833</v>
      </c>
      <c r="Q95" s="4">
        <v>1449827</v>
      </c>
      <c r="R95" s="4">
        <f>SUM(Table1_1[[#This Row],[Fuel_Cost_INR]:[Operating_Cost_INR]])</f>
        <v>2628660</v>
      </c>
      <c r="S95" s="4">
        <f>Table1_1[[#This Row],[Total_Revenue]]-Table1_1[[#This Row],[Total_Cost]]</f>
        <v>-1001864</v>
      </c>
      <c r="T95" s="9">
        <f>(Table1_1[[#This Row],[Total_Profit]]/Table1_1[[#This Row],[Total_Revenue]])</f>
        <v>-0.61585103479477454</v>
      </c>
      <c r="U95" s="5">
        <v>45</v>
      </c>
      <c r="V95" s="6" t="s">
        <v>18</v>
      </c>
      <c r="W95" s="8">
        <v>4.4000000000000004</v>
      </c>
      <c r="X95" t="str" cm="1">
        <f t="array" ref="X95">_xlfn.IFS(Table1_1[[#This Row],[Customer_Rating]]&lt;3,"Poor",Table1_1[[#This Row],[Customer_Rating]]&lt;4,"Good",Table1_1[[#This Row],[Customer_Rating]]&gt;=4,"Excellent")</f>
        <v>Excellent</v>
      </c>
    </row>
    <row r="96" spans="1:24" x14ac:dyDescent="0.35">
      <c r="A96" s="2" t="s">
        <v>205</v>
      </c>
      <c r="B96" s="3">
        <v>45777</v>
      </c>
      <c r="C96" s="3" t="str">
        <f>TEXT(Table1_1[[#This Row],[Date]],"YYYY")</f>
        <v>2025</v>
      </c>
      <c r="D96" s="3" t="str">
        <f>TEXT(Table1_1[[#This Row],[Date]],"mmm")</f>
        <v>Apr</v>
      </c>
      <c r="E96" s="2" t="s">
        <v>39</v>
      </c>
      <c r="F96" s="2" t="str">
        <f>INDEX(IndiGo_Flight_Data!$R$2:$R$11,MATCH(Table1_1[[#This Row],[Route]],_xlfn.ANCHORARRAY(IndiGo_Flight_Data!$Q$2),0))</f>
        <v>Bengaluru - Delhi</v>
      </c>
      <c r="G96" s="2" t="s">
        <v>24</v>
      </c>
      <c r="H96">
        <v>143</v>
      </c>
      <c r="I96">
        <v>180</v>
      </c>
      <c r="J96">
        <f>Table1_1[[#This Row],[Seat_Capacity]]-Table1_1[[#This Row],[Passengers]]</f>
        <v>37</v>
      </c>
      <c r="K96">
        <v>79.44</v>
      </c>
      <c r="L96" t="str" cm="1">
        <f t="array" ref="L96">_xlfn.IFS(Table1_1[[#This Row],[Load_Factor_%]]&lt;60,"Low",Table1_1[[#This Row],[Load_Factor_%]]&lt;85,"Intermediate",Table1_1[[#This Row],[Load_Factor_%]]&gt;=85,"High")</f>
        <v>Intermediate</v>
      </c>
      <c r="M96" s="4">
        <v>1201866</v>
      </c>
      <c r="N96" s="4">
        <v>142363</v>
      </c>
      <c r="O96" s="4">
        <f>SUM(Table1_1[[#This Row],[Ticket_Revenue_INR]:[Cargo_Revenue_INR]])</f>
        <v>1344229</v>
      </c>
      <c r="P96" s="4">
        <v>1173331</v>
      </c>
      <c r="Q96" s="4">
        <v>1338900</v>
      </c>
      <c r="R96" s="4">
        <f>SUM(Table1_1[[#This Row],[Fuel_Cost_INR]:[Operating_Cost_INR]])</f>
        <v>2512231</v>
      </c>
      <c r="S96" s="4">
        <f>Table1_1[[#This Row],[Total_Revenue]]-Table1_1[[#This Row],[Total_Cost]]</f>
        <v>-1168002</v>
      </c>
      <c r="T96" s="9">
        <f>(Table1_1[[#This Row],[Total_Profit]]/Table1_1[[#This Row],[Total_Revenue]])</f>
        <v>-0.86890105778107751</v>
      </c>
      <c r="U96" s="5">
        <v>15</v>
      </c>
      <c r="V96" s="6" t="s">
        <v>33</v>
      </c>
      <c r="W96" s="8">
        <v>3.8</v>
      </c>
      <c r="X96" t="str" cm="1">
        <f t="array" ref="X96">_xlfn.IFS(Table1_1[[#This Row],[Customer_Rating]]&lt;3,"Poor",Table1_1[[#This Row],[Customer_Rating]]&lt;4,"Good",Table1_1[[#This Row],[Customer_Rating]]&gt;=4,"Excellent")</f>
        <v>Good</v>
      </c>
    </row>
    <row r="97" spans="1:24" x14ac:dyDescent="0.35">
      <c r="A97" s="2" t="s">
        <v>207</v>
      </c>
      <c r="B97" s="3">
        <v>45773</v>
      </c>
      <c r="C97" s="3" t="str">
        <f>TEXT(Table1_1[[#This Row],[Date]],"YYYY")</f>
        <v>2025</v>
      </c>
      <c r="D97" s="3" t="str">
        <f>TEXT(Table1_1[[#This Row],[Date]],"mmm")</f>
        <v>Apr</v>
      </c>
      <c r="E97" s="2" t="s">
        <v>76</v>
      </c>
      <c r="F97" s="2" t="str">
        <f>INDEX(IndiGo_Flight_Data!$R$2:$R$11,MATCH(Table1_1[[#This Row],[Route]],_xlfn.ANCHORARRAY(IndiGo_Flight_Data!$Q$2),0))</f>
        <v>Madras - Delhi</v>
      </c>
      <c r="G97" s="2" t="s">
        <v>17</v>
      </c>
      <c r="H97">
        <v>69</v>
      </c>
      <c r="I97">
        <v>78</v>
      </c>
      <c r="J97">
        <f>Table1_1[[#This Row],[Seat_Capacity]]-Table1_1[[#This Row],[Passengers]]</f>
        <v>9</v>
      </c>
      <c r="K97">
        <v>88.46</v>
      </c>
      <c r="L97" t="str" cm="1">
        <f t="array" ref="L97">_xlfn.IFS(Table1_1[[#This Row],[Load_Factor_%]]&lt;60,"Low",Table1_1[[#This Row],[Load_Factor_%]]&lt;85,"Intermediate",Table1_1[[#This Row],[Load_Factor_%]]&gt;=85,"High")</f>
        <v>High</v>
      </c>
      <c r="M97" s="4">
        <v>302451</v>
      </c>
      <c r="N97" s="4">
        <v>143162</v>
      </c>
      <c r="O97" s="4">
        <f>SUM(Table1_1[[#This Row],[Ticket_Revenue_INR]:[Cargo_Revenue_INR]])</f>
        <v>445613</v>
      </c>
      <c r="P97" s="4">
        <v>981928</v>
      </c>
      <c r="Q97" s="4">
        <v>1362111</v>
      </c>
      <c r="R97" s="4">
        <f>SUM(Table1_1[[#This Row],[Fuel_Cost_INR]:[Operating_Cost_INR]])</f>
        <v>2344039</v>
      </c>
      <c r="S97" s="4">
        <f>Table1_1[[#This Row],[Total_Revenue]]-Table1_1[[#This Row],[Total_Cost]]</f>
        <v>-1898426</v>
      </c>
      <c r="T97" s="9">
        <f>(Table1_1[[#This Row],[Total_Profit]]/Table1_1[[#This Row],[Total_Revenue]])</f>
        <v>-4.2602572187077126</v>
      </c>
      <c r="U97" s="5">
        <v>64</v>
      </c>
      <c r="V97" s="6" t="s">
        <v>18</v>
      </c>
      <c r="W97" s="8">
        <v>4.7</v>
      </c>
      <c r="X97" t="str" cm="1">
        <f t="array" ref="X97">_xlfn.IFS(Table1_1[[#This Row],[Customer_Rating]]&lt;3,"Poor",Table1_1[[#This Row],[Customer_Rating]]&lt;4,"Good",Table1_1[[#This Row],[Customer_Rating]]&gt;=4,"Excellent")</f>
        <v>Excellent</v>
      </c>
    </row>
    <row r="98" spans="1:24" x14ac:dyDescent="0.35">
      <c r="A98" s="2" t="s">
        <v>208</v>
      </c>
      <c r="B98" s="3">
        <v>45713</v>
      </c>
      <c r="C98" s="3" t="str">
        <f>TEXT(Table1_1[[#This Row],[Date]],"YYYY")</f>
        <v>2025</v>
      </c>
      <c r="D98" s="3" t="str">
        <f>TEXT(Table1_1[[#This Row],[Date]],"mmm")</f>
        <v>Feb</v>
      </c>
      <c r="E98" s="2" t="s">
        <v>39</v>
      </c>
      <c r="F98" s="2" t="str">
        <f>INDEX(IndiGo_Flight_Data!$R$2:$R$11,MATCH(Table1_1[[#This Row],[Route]],_xlfn.ANCHORARRAY(IndiGo_Flight_Data!$Q$2),0))</f>
        <v>Bengaluru - Delhi</v>
      </c>
      <c r="G98" s="2" t="s">
        <v>24</v>
      </c>
      <c r="H98">
        <v>150</v>
      </c>
      <c r="I98">
        <v>180</v>
      </c>
      <c r="J98">
        <f>Table1_1[[#This Row],[Seat_Capacity]]-Table1_1[[#This Row],[Passengers]]</f>
        <v>30</v>
      </c>
      <c r="K98">
        <v>83.33</v>
      </c>
      <c r="L98" t="str" cm="1">
        <f t="array" ref="L98">_xlfn.IFS(Table1_1[[#This Row],[Load_Factor_%]]&lt;60,"Low",Table1_1[[#This Row],[Load_Factor_%]]&lt;85,"Intermediate",Table1_1[[#This Row],[Load_Factor_%]]&gt;=85,"High")</f>
        <v>Intermediate</v>
      </c>
      <c r="M98" s="4">
        <v>684300</v>
      </c>
      <c r="N98" s="4">
        <v>101154</v>
      </c>
      <c r="O98" s="4">
        <f>SUM(Table1_1[[#This Row],[Ticket_Revenue_INR]:[Cargo_Revenue_INR]])</f>
        <v>785454</v>
      </c>
      <c r="P98" s="4">
        <v>855634</v>
      </c>
      <c r="Q98" s="4">
        <v>1479680</v>
      </c>
      <c r="R98" s="4">
        <f>SUM(Table1_1[[#This Row],[Fuel_Cost_INR]:[Operating_Cost_INR]])</f>
        <v>2335314</v>
      </c>
      <c r="S98" s="4">
        <f>Table1_1[[#This Row],[Total_Revenue]]-Table1_1[[#This Row],[Total_Cost]]</f>
        <v>-1549860</v>
      </c>
      <c r="T98" s="9">
        <f>(Table1_1[[#This Row],[Total_Profit]]/Table1_1[[#This Row],[Total_Revenue]])</f>
        <v>-1.9732027591685828</v>
      </c>
      <c r="U98" s="5">
        <v>87</v>
      </c>
      <c r="V98" s="6" t="s">
        <v>18</v>
      </c>
      <c r="W98" s="8">
        <v>3.3</v>
      </c>
      <c r="X98" t="str" cm="1">
        <f t="array" ref="X98">_xlfn.IFS(Table1_1[[#This Row],[Customer_Rating]]&lt;3,"Poor",Table1_1[[#This Row],[Customer_Rating]]&lt;4,"Good",Table1_1[[#This Row],[Customer_Rating]]&gt;=4,"Excellent")</f>
        <v>Good</v>
      </c>
    </row>
    <row r="99" spans="1:24" x14ac:dyDescent="0.35">
      <c r="A99" s="2" t="s">
        <v>210</v>
      </c>
      <c r="B99" s="3">
        <v>45695</v>
      </c>
      <c r="C99" s="3" t="str">
        <f>TEXT(Table1_1[[#This Row],[Date]],"YYYY")</f>
        <v>2025</v>
      </c>
      <c r="D99" s="3" t="str">
        <f>TEXT(Table1_1[[#This Row],[Date]],"mmm")</f>
        <v>Feb</v>
      </c>
      <c r="E99" s="2" t="s">
        <v>29</v>
      </c>
      <c r="F99" s="2" t="str">
        <f>INDEX(IndiGo_Flight_Data!$R$2:$R$11,MATCH(Table1_1[[#This Row],[Route]],_xlfn.ANCHORARRAY(IndiGo_Flight_Data!$Q$2),0))</f>
        <v>Calacatta - Delhi</v>
      </c>
      <c r="G99" s="2" t="s">
        <v>43</v>
      </c>
      <c r="H99">
        <v>182</v>
      </c>
      <c r="I99">
        <v>232</v>
      </c>
      <c r="J99">
        <f>Table1_1[[#This Row],[Seat_Capacity]]-Table1_1[[#This Row],[Passengers]]</f>
        <v>50</v>
      </c>
      <c r="K99">
        <v>78.45</v>
      </c>
      <c r="L99" t="str" cm="1">
        <f t="array" ref="L99">_xlfn.IFS(Table1_1[[#This Row],[Load_Factor_%]]&lt;60,"Low",Table1_1[[#This Row],[Load_Factor_%]]&lt;85,"Intermediate",Table1_1[[#This Row],[Load_Factor_%]]&gt;=85,"High")</f>
        <v>Intermediate</v>
      </c>
      <c r="M99" s="4">
        <v>642229</v>
      </c>
      <c r="N99" s="4">
        <v>18964</v>
      </c>
      <c r="O99" s="4">
        <f>SUM(Table1_1[[#This Row],[Ticket_Revenue_INR]:[Cargo_Revenue_INR]])</f>
        <v>661193</v>
      </c>
      <c r="P99" s="4">
        <v>929629</v>
      </c>
      <c r="Q99" s="4">
        <v>1281270</v>
      </c>
      <c r="R99" s="4">
        <f>SUM(Table1_1[[#This Row],[Fuel_Cost_INR]:[Operating_Cost_INR]])</f>
        <v>2210899</v>
      </c>
      <c r="S99" s="4">
        <f>Table1_1[[#This Row],[Total_Revenue]]-Table1_1[[#This Row],[Total_Cost]]</f>
        <v>-1549706</v>
      </c>
      <c r="T99" s="9">
        <f>(Table1_1[[#This Row],[Total_Profit]]/Table1_1[[#This Row],[Total_Revenue]])</f>
        <v>-2.3438027928305352</v>
      </c>
      <c r="U99" s="5">
        <v>33</v>
      </c>
      <c r="V99" s="6" t="s">
        <v>18</v>
      </c>
      <c r="W99" s="8">
        <v>4.5999999999999996</v>
      </c>
      <c r="X99" t="str" cm="1">
        <f t="array" ref="X99">_xlfn.IFS(Table1_1[[#This Row],[Customer_Rating]]&lt;3,"Poor",Table1_1[[#This Row],[Customer_Rating]]&lt;4,"Good",Table1_1[[#This Row],[Customer_Rating]]&gt;=4,"Excellent")</f>
        <v>Excellent</v>
      </c>
    </row>
    <row r="100" spans="1:24" x14ac:dyDescent="0.35">
      <c r="A100" s="2" t="s">
        <v>212</v>
      </c>
      <c r="B100" s="3">
        <v>45994</v>
      </c>
      <c r="C100" s="3" t="str">
        <f>TEXT(Table1_1[[#This Row],[Date]],"YYYY")</f>
        <v>2025</v>
      </c>
      <c r="D100" s="3" t="str">
        <f>TEXT(Table1_1[[#This Row],[Date]],"mmm")</f>
        <v>Dec</v>
      </c>
      <c r="E100" s="2" t="s">
        <v>42</v>
      </c>
      <c r="F100" s="2" t="str">
        <f>INDEX(IndiGo_Flight_Data!$R$2:$R$11,MATCH(Table1_1[[#This Row],[Route]],_xlfn.ANCHORARRAY(IndiGo_Flight_Data!$Q$2),0))</f>
        <v>Bombay - Hyderabad</v>
      </c>
      <c r="G100" s="2" t="s">
        <v>43</v>
      </c>
      <c r="H100">
        <v>147</v>
      </c>
      <c r="I100">
        <v>232</v>
      </c>
      <c r="J100">
        <f>Table1_1[[#This Row],[Seat_Capacity]]-Table1_1[[#This Row],[Passengers]]</f>
        <v>85</v>
      </c>
      <c r="K100">
        <v>63.36</v>
      </c>
      <c r="L100" t="str" cm="1">
        <f t="array" ref="L100">_xlfn.IFS(Table1_1[[#This Row],[Load_Factor_%]]&lt;60,"Low",Table1_1[[#This Row],[Load_Factor_%]]&lt;85,"Intermediate",Table1_1[[#This Row],[Load_Factor_%]]&gt;=85,"High")</f>
        <v>Intermediate</v>
      </c>
      <c r="M100" s="4">
        <v>1051817</v>
      </c>
      <c r="N100" s="4">
        <v>44758</v>
      </c>
      <c r="O100" s="4">
        <f>SUM(Table1_1[[#This Row],[Ticket_Revenue_INR]:[Cargo_Revenue_INR]])</f>
        <v>1096575</v>
      </c>
      <c r="P100" s="4">
        <v>1002631</v>
      </c>
      <c r="Q100" s="4">
        <v>1178710</v>
      </c>
      <c r="R100" s="4">
        <f>SUM(Table1_1[[#This Row],[Fuel_Cost_INR]:[Operating_Cost_INR]])</f>
        <v>2181341</v>
      </c>
      <c r="S100" s="4">
        <f>Table1_1[[#This Row],[Total_Revenue]]-Table1_1[[#This Row],[Total_Cost]]</f>
        <v>-1084766</v>
      </c>
      <c r="T100" s="9">
        <f>(Table1_1[[#This Row],[Total_Profit]]/Table1_1[[#This Row],[Total_Revenue]])</f>
        <v>-0.98923101475047304</v>
      </c>
      <c r="U100" s="5">
        <v>77</v>
      </c>
      <c r="V100" s="6" t="s">
        <v>18</v>
      </c>
      <c r="W100" s="8">
        <v>3.4</v>
      </c>
      <c r="X100" t="str" cm="1">
        <f t="array" ref="X100">_xlfn.IFS(Table1_1[[#This Row],[Customer_Rating]]&lt;3,"Poor",Table1_1[[#This Row],[Customer_Rating]]&lt;4,"Good",Table1_1[[#This Row],[Customer_Rating]]&gt;=4,"Excellent")</f>
        <v>Good</v>
      </c>
    </row>
    <row r="101" spans="1:24" x14ac:dyDescent="0.35">
      <c r="A101" s="2" t="s">
        <v>214</v>
      </c>
      <c r="B101" s="3">
        <v>45766</v>
      </c>
      <c r="C101" s="3" t="str">
        <f>TEXT(Table1_1[[#This Row],[Date]],"YYYY")</f>
        <v>2025</v>
      </c>
      <c r="D101" s="3" t="str">
        <f>TEXT(Table1_1[[#This Row],[Date]],"mmm")</f>
        <v>Apr</v>
      </c>
      <c r="E101" s="2" t="s">
        <v>117</v>
      </c>
      <c r="F101" s="2" t="str">
        <f>INDEX(IndiGo_Flight_Data!$R$2:$R$11,MATCH(Table1_1[[#This Row],[Route]],_xlfn.ANCHORARRAY(IndiGo_Flight_Data!$Q$2),0))</f>
        <v>Bengaluru - Calacatta</v>
      </c>
      <c r="G101" s="2" t="s">
        <v>17</v>
      </c>
      <c r="H101">
        <v>67</v>
      </c>
      <c r="I101">
        <v>78</v>
      </c>
      <c r="J101">
        <f>Table1_1[[#This Row],[Seat_Capacity]]-Table1_1[[#This Row],[Passengers]]</f>
        <v>11</v>
      </c>
      <c r="K101">
        <v>85.9</v>
      </c>
      <c r="L101" t="str" cm="1">
        <f t="array" ref="L101">_xlfn.IFS(Table1_1[[#This Row],[Load_Factor_%]]&lt;60,"Low",Table1_1[[#This Row],[Load_Factor_%]]&lt;85,"Intermediate",Table1_1[[#This Row],[Load_Factor_%]]&gt;=85,"High")</f>
        <v>High</v>
      </c>
      <c r="M101" s="4">
        <v>371457</v>
      </c>
      <c r="N101" s="4">
        <v>25145</v>
      </c>
      <c r="O101" s="4">
        <f>SUM(Table1_1[[#This Row],[Ticket_Revenue_INR]:[Cargo_Revenue_INR]])</f>
        <v>396602</v>
      </c>
      <c r="P101" s="4">
        <v>841791</v>
      </c>
      <c r="Q101" s="4">
        <v>1325832</v>
      </c>
      <c r="R101" s="4">
        <f>SUM(Table1_1[[#This Row],[Fuel_Cost_INR]:[Operating_Cost_INR]])</f>
        <v>2167623</v>
      </c>
      <c r="S101" s="4">
        <f>Table1_1[[#This Row],[Total_Revenue]]-Table1_1[[#This Row],[Total_Cost]]</f>
        <v>-1771021</v>
      </c>
      <c r="T101" s="9">
        <f>(Table1_1[[#This Row],[Total_Profit]]/Table1_1[[#This Row],[Total_Revenue]])</f>
        <v>-4.4654868104548138</v>
      </c>
      <c r="U101" s="5">
        <v>61</v>
      </c>
      <c r="V101" s="6" t="s">
        <v>18</v>
      </c>
      <c r="W101" s="8">
        <v>4.3</v>
      </c>
      <c r="X101" t="str" cm="1">
        <f t="array" ref="X101">_xlfn.IFS(Table1_1[[#This Row],[Customer_Rating]]&lt;3,"Poor",Table1_1[[#This Row],[Customer_Rating]]&lt;4,"Good",Table1_1[[#This Row],[Customer_Rating]]&gt;=4,"Excellent")</f>
        <v>Excellent</v>
      </c>
    </row>
    <row r="102" spans="1:24" x14ac:dyDescent="0.35">
      <c r="A102" s="2" t="s">
        <v>216</v>
      </c>
      <c r="B102" s="3">
        <v>45766</v>
      </c>
      <c r="C102" s="3" t="str">
        <f>TEXT(Table1_1[[#This Row],[Date]],"YYYY")</f>
        <v>2025</v>
      </c>
      <c r="D102" s="3" t="str">
        <f>TEXT(Table1_1[[#This Row],[Date]],"mmm")</f>
        <v>Apr</v>
      </c>
      <c r="E102" s="2" t="s">
        <v>42</v>
      </c>
      <c r="F102" s="2" t="str">
        <f>INDEX(IndiGo_Flight_Data!$R$2:$R$11,MATCH(Table1_1[[#This Row],[Route]],_xlfn.ANCHORARRAY(IndiGo_Flight_Data!$Q$2),0))</f>
        <v>Bombay - Hyderabad</v>
      </c>
      <c r="G102" s="2" t="s">
        <v>24</v>
      </c>
      <c r="H102">
        <v>171</v>
      </c>
      <c r="I102">
        <v>180</v>
      </c>
      <c r="J102">
        <f>Table1_1[[#This Row],[Seat_Capacity]]-Table1_1[[#This Row],[Passengers]]</f>
        <v>9</v>
      </c>
      <c r="K102">
        <v>95</v>
      </c>
      <c r="L102" t="str" cm="1">
        <f t="array" ref="L102">_xlfn.IFS(Table1_1[[#This Row],[Load_Factor_%]]&lt;60,"Low",Table1_1[[#This Row],[Load_Factor_%]]&lt;85,"Intermediate",Table1_1[[#This Row],[Load_Factor_%]]&gt;=85,"High")</f>
        <v>High</v>
      </c>
      <c r="M102" s="4">
        <v>1398169</v>
      </c>
      <c r="N102" s="4">
        <v>128812</v>
      </c>
      <c r="O102" s="4">
        <f>SUM(Table1_1[[#This Row],[Ticket_Revenue_INR]:[Cargo_Revenue_INR]])</f>
        <v>1526981</v>
      </c>
      <c r="P102" s="4">
        <v>1086860</v>
      </c>
      <c r="Q102" s="4">
        <v>1304060</v>
      </c>
      <c r="R102" s="4">
        <f>SUM(Table1_1[[#This Row],[Fuel_Cost_INR]:[Operating_Cost_INR]])</f>
        <v>2390920</v>
      </c>
      <c r="S102" s="4">
        <f>Table1_1[[#This Row],[Total_Revenue]]-Table1_1[[#This Row],[Total_Cost]]</f>
        <v>-863939</v>
      </c>
      <c r="T102" s="9">
        <f>(Table1_1[[#This Row],[Total_Profit]]/Table1_1[[#This Row],[Total_Revenue]])</f>
        <v>-0.56578241641513549</v>
      </c>
      <c r="U102" s="5">
        <v>80</v>
      </c>
      <c r="V102" s="6" t="s">
        <v>18</v>
      </c>
      <c r="W102" s="8">
        <v>4.2</v>
      </c>
      <c r="X102" t="str" cm="1">
        <f t="array" ref="X102">_xlfn.IFS(Table1_1[[#This Row],[Customer_Rating]]&lt;3,"Poor",Table1_1[[#This Row],[Customer_Rating]]&lt;4,"Good",Table1_1[[#This Row],[Customer_Rating]]&gt;=4,"Excellent")</f>
        <v>Excellent</v>
      </c>
    </row>
    <row r="103" spans="1:24" x14ac:dyDescent="0.35">
      <c r="A103" s="2" t="s">
        <v>217</v>
      </c>
      <c r="B103" s="3">
        <v>45749</v>
      </c>
      <c r="C103" s="3" t="str">
        <f>TEXT(Table1_1[[#This Row],[Date]],"YYYY")</f>
        <v>2025</v>
      </c>
      <c r="D103" s="3" t="str">
        <f>TEXT(Table1_1[[#This Row],[Date]],"mmm")</f>
        <v>Apr</v>
      </c>
      <c r="E103" s="2" t="s">
        <v>39</v>
      </c>
      <c r="F103" s="2" t="str">
        <f>INDEX(IndiGo_Flight_Data!$R$2:$R$11,MATCH(Table1_1[[#This Row],[Route]],_xlfn.ANCHORARRAY(IndiGo_Flight_Data!$Q$2),0))</f>
        <v>Bengaluru - Delhi</v>
      </c>
      <c r="G103" s="2" t="s">
        <v>17</v>
      </c>
      <c r="H103">
        <v>69</v>
      </c>
      <c r="I103">
        <v>78</v>
      </c>
      <c r="J103">
        <f>Table1_1[[#This Row],[Seat_Capacity]]-Table1_1[[#This Row],[Passengers]]</f>
        <v>9</v>
      </c>
      <c r="K103">
        <v>88.46</v>
      </c>
      <c r="L103" t="str" cm="1">
        <f t="array" ref="L103">_xlfn.IFS(Table1_1[[#This Row],[Load_Factor_%]]&lt;60,"Low",Table1_1[[#This Row],[Load_Factor_%]]&lt;85,"Intermediate",Table1_1[[#This Row],[Load_Factor_%]]&gt;=85,"High")</f>
        <v>High</v>
      </c>
      <c r="M103" s="4">
        <v>477421</v>
      </c>
      <c r="N103" s="4">
        <v>129231</v>
      </c>
      <c r="O103" s="4">
        <f>SUM(Table1_1[[#This Row],[Ticket_Revenue_INR]:[Cargo_Revenue_INR]])</f>
        <v>606652</v>
      </c>
      <c r="P103" s="4">
        <v>297210</v>
      </c>
      <c r="Q103" s="4">
        <v>810173</v>
      </c>
      <c r="R103" s="4">
        <f>SUM(Table1_1[[#This Row],[Fuel_Cost_INR]:[Operating_Cost_INR]])</f>
        <v>1107383</v>
      </c>
      <c r="S103" s="4">
        <f>Table1_1[[#This Row],[Total_Revenue]]-Table1_1[[#This Row],[Total_Cost]]</f>
        <v>-500731</v>
      </c>
      <c r="T103" s="9">
        <f>(Table1_1[[#This Row],[Total_Profit]]/Table1_1[[#This Row],[Total_Revenue]])</f>
        <v>-0.82540072397354658</v>
      </c>
      <c r="U103" s="5">
        <v>19</v>
      </c>
      <c r="V103" s="6" t="s">
        <v>18</v>
      </c>
      <c r="W103" s="8">
        <v>4</v>
      </c>
      <c r="X103" t="str" cm="1">
        <f t="array" ref="X103">_xlfn.IFS(Table1_1[[#This Row],[Customer_Rating]]&lt;3,"Poor",Table1_1[[#This Row],[Customer_Rating]]&lt;4,"Good",Table1_1[[#This Row],[Customer_Rating]]&gt;=4,"Excellent")</f>
        <v>Excellent</v>
      </c>
    </row>
    <row r="104" spans="1:24" x14ac:dyDescent="0.35">
      <c r="A104" s="2" t="s">
        <v>219</v>
      </c>
      <c r="B104" s="3">
        <v>46020</v>
      </c>
      <c r="C104" s="3" t="str">
        <f>TEXT(Table1_1[[#This Row],[Date]],"YYYY")</f>
        <v>2025</v>
      </c>
      <c r="D104" s="3" t="str">
        <f>TEXT(Table1_1[[#This Row],[Date]],"mmm")</f>
        <v>Dec</v>
      </c>
      <c r="E104" s="2" t="s">
        <v>117</v>
      </c>
      <c r="F104" s="2" t="str">
        <f>INDEX(IndiGo_Flight_Data!$R$2:$R$11,MATCH(Table1_1[[#This Row],[Route]],_xlfn.ANCHORARRAY(IndiGo_Flight_Data!$Q$2),0))</f>
        <v>Bengaluru - Calacatta</v>
      </c>
      <c r="G104" s="2" t="s">
        <v>17</v>
      </c>
      <c r="H104">
        <v>53</v>
      </c>
      <c r="I104">
        <v>78</v>
      </c>
      <c r="J104">
        <f>Table1_1[[#This Row],[Seat_Capacity]]-Table1_1[[#This Row],[Passengers]]</f>
        <v>25</v>
      </c>
      <c r="K104">
        <v>67.95</v>
      </c>
      <c r="L104" t="str" cm="1">
        <f t="array" ref="L104">_xlfn.IFS(Table1_1[[#This Row],[Load_Factor_%]]&lt;60,"Low",Table1_1[[#This Row],[Load_Factor_%]]&lt;85,"Intermediate",Table1_1[[#This Row],[Load_Factor_%]]&gt;=85,"High")</f>
        <v>Intermediate</v>
      </c>
      <c r="M104" s="4">
        <v>242593</v>
      </c>
      <c r="N104" s="4">
        <v>144869</v>
      </c>
      <c r="O104" s="4">
        <f>SUM(Table1_1[[#This Row],[Ticket_Revenue_INR]:[Cargo_Revenue_INR]])</f>
        <v>387462</v>
      </c>
      <c r="P104" s="4">
        <v>383675</v>
      </c>
      <c r="Q104" s="4">
        <v>1056905</v>
      </c>
      <c r="R104" s="4">
        <f>SUM(Table1_1[[#This Row],[Fuel_Cost_INR]:[Operating_Cost_INR]])</f>
        <v>1440580</v>
      </c>
      <c r="S104" s="4">
        <f>Table1_1[[#This Row],[Total_Revenue]]-Table1_1[[#This Row],[Total_Cost]]</f>
        <v>-1053118</v>
      </c>
      <c r="T104" s="9">
        <f>(Table1_1[[#This Row],[Total_Profit]]/Table1_1[[#This Row],[Total_Revenue]])</f>
        <v>-2.7179904093820815</v>
      </c>
      <c r="U104" s="5">
        <v>46</v>
      </c>
      <c r="V104" s="6" t="s">
        <v>18</v>
      </c>
      <c r="W104" s="8">
        <v>3.8</v>
      </c>
      <c r="X104" t="str" cm="1">
        <f t="array" ref="X104">_xlfn.IFS(Table1_1[[#This Row],[Customer_Rating]]&lt;3,"Poor",Table1_1[[#This Row],[Customer_Rating]]&lt;4,"Good",Table1_1[[#This Row],[Customer_Rating]]&gt;=4,"Excellent")</f>
        <v>Good</v>
      </c>
    </row>
    <row r="105" spans="1:24" x14ac:dyDescent="0.35">
      <c r="A105" s="2" t="s">
        <v>221</v>
      </c>
      <c r="B105" s="3">
        <v>45833</v>
      </c>
      <c r="C105" s="3" t="str">
        <f>TEXT(Table1_1[[#This Row],[Date]],"YYYY")</f>
        <v>2025</v>
      </c>
      <c r="D105" s="3" t="str">
        <f>TEXT(Table1_1[[#This Row],[Date]],"mmm")</f>
        <v>Jun</v>
      </c>
      <c r="E105" s="2" t="s">
        <v>39</v>
      </c>
      <c r="F105" s="2" t="str">
        <f>INDEX(IndiGo_Flight_Data!$R$2:$R$11,MATCH(Table1_1[[#This Row],[Route]],_xlfn.ANCHORARRAY(IndiGo_Flight_Data!$Q$2),0))</f>
        <v>Bengaluru - Delhi</v>
      </c>
      <c r="G105" s="2" t="s">
        <v>24</v>
      </c>
      <c r="H105">
        <v>137</v>
      </c>
      <c r="I105">
        <v>180</v>
      </c>
      <c r="J105">
        <f>Table1_1[[#This Row],[Seat_Capacity]]-Table1_1[[#This Row],[Passengers]]</f>
        <v>43</v>
      </c>
      <c r="K105">
        <v>76.11</v>
      </c>
      <c r="L105" t="str" cm="1">
        <f t="array" ref="L105">_xlfn.IFS(Table1_1[[#This Row],[Load_Factor_%]]&lt;60,"Low",Table1_1[[#This Row],[Load_Factor_%]]&lt;85,"Intermediate",Table1_1[[#This Row],[Load_Factor_%]]&gt;=85,"High")</f>
        <v>Intermediate</v>
      </c>
      <c r="M105" s="4">
        <v>713390</v>
      </c>
      <c r="N105" s="4">
        <v>57032</v>
      </c>
      <c r="O105" s="4">
        <f>SUM(Table1_1[[#This Row],[Ticket_Revenue_INR]:[Cargo_Revenue_INR]])</f>
        <v>770422</v>
      </c>
      <c r="P105" s="4">
        <v>803281</v>
      </c>
      <c r="Q105" s="4">
        <v>1374426</v>
      </c>
      <c r="R105" s="4">
        <f>SUM(Table1_1[[#This Row],[Fuel_Cost_INR]:[Operating_Cost_INR]])</f>
        <v>2177707</v>
      </c>
      <c r="S105" s="4">
        <f>Table1_1[[#This Row],[Total_Revenue]]-Table1_1[[#This Row],[Total_Cost]]</f>
        <v>-1407285</v>
      </c>
      <c r="T105" s="9">
        <f>(Table1_1[[#This Row],[Total_Profit]]/Table1_1[[#This Row],[Total_Revenue]])</f>
        <v>-1.8266417625664895</v>
      </c>
      <c r="U105" s="5">
        <v>84</v>
      </c>
      <c r="V105" s="6" t="s">
        <v>18</v>
      </c>
      <c r="W105" s="8">
        <v>3.9</v>
      </c>
      <c r="X105" t="str" cm="1">
        <f t="array" ref="X105">_xlfn.IFS(Table1_1[[#This Row],[Customer_Rating]]&lt;3,"Poor",Table1_1[[#This Row],[Customer_Rating]]&lt;4,"Good",Table1_1[[#This Row],[Customer_Rating]]&gt;=4,"Excellent")</f>
        <v>Good</v>
      </c>
    </row>
    <row r="106" spans="1:24" x14ac:dyDescent="0.35">
      <c r="A106" s="2" t="s">
        <v>223</v>
      </c>
      <c r="B106" s="3">
        <v>45782</v>
      </c>
      <c r="C106" s="3" t="str">
        <f>TEXT(Table1_1[[#This Row],[Date]],"YYYY")</f>
        <v>2025</v>
      </c>
      <c r="D106" s="3" t="str">
        <f>TEXT(Table1_1[[#This Row],[Date]],"mmm")</f>
        <v>May</v>
      </c>
      <c r="E106" s="2" t="s">
        <v>39</v>
      </c>
      <c r="F106" s="2" t="str">
        <f>INDEX(IndiGo_Flight_Data!$R$2:$R$11,MATCH(Table1_1[[#This Row],[Route]],_xlfn.ANCHORARRAY(IndiGo_Flight_Data!$Q$2),0))</f>
        <v>Bengaluru - Delhi</v>
      </c>
      <c r="G106" s="2" t="s">
        <v>24</v>
      </c>
      <c r="H106">
        <v>166</v>
      </c>
      <c r="I106">
        <v>180</v>
      </c>
      <c r="J106">
        <f>Table1_1[[#This Row],[Seat_Capacity]]-Table1_1[[#This Row],[Passengers]]</f>
        <v>14</v>
      </c>
      <c r="K106">
        <v>92.22</v>
      </c>
      <c r="L106" t="str" cm="1">
        <f t="array" ref="L106">_xlfn.IFS(Table1_1[[#This Row],[Load_Factor_%]]&lt;60,"Low",Table1_1[[#This Row],[Load_Factor_%]]&lt;85,"Intermediate",Table1_1[[#This Row],[Load_Factor_%]]&gt;=85,"High")</f>
        <v>High</v>
      </c>
      <c r="M106" s="4">
        <v>1205837</v>
      </c>
      <c r="N106" s="4">
        <v>61985</v>
      </c>
      <c r="O106" s="4">
        <f>SUM(Table1_1[[#This Row],[Ticket_Revenue_INR]:[Cargo_Revenue_INR]])</f>
        <v>1267822</v>
      </c>
      <c r="P106" s="4">
        <v>465543</v>
      </c>
      <c r="Q106" s="4">
        <v>1019184</v>
      </c>
      <c r="R106" s="4">
        <f>SUM(Table1_1[[#This Row],[Fuel_Cost_INR]:[Operating_Cost_INR]])</f>
        <v>1484727</v>
      </c>
      <c r="S106" s="4">
        <f>Table1_1[[#This Row],[Total_Revenue]]-Table1_1[[#This Row],[Total_Cost]]</f>
        <v>-216905</v>
      </c>
      <c r="T106" s="9">
        <f>(Table1_1[[#This Row],[Total_Profit]]/Table1_1[[#This Row],[Total_Revenue]])</f>
        <v>-0.17108474217989592</v>
      </c>
      <c r="U106" s="5">
        <v>56</v>
      </c>
      <c r="V106" s="6" t="s">
        <v>18</v>
      </c>
      <c r="W106" s="8">
        <v>4.3</v>
      </c>
      <c r="X106" t="str" cm="1">
        <f t="array" ref="X106">_xlfn.IFS(Table1_1[[#This Row],[Customer_Rating]]&lt;3,"Poor",Table1_1[[#This Row],[Customer_Rating]]&lt;4,"Good",Table1_1[[#This Row],[Customer_Rating]]&gt;=4,"Excellent")</f>
        <v>Excellent</v>
      </c>
    </row>
    <row r="107" spans="1:24" x14ac:dyDescent="0.35">
      <c r="A107" s="2" t="s">
        <v>225</v>
      </c>
      <c r="B107" s="3">
        <v>45852</v>
      </c>
      <c r="C107" s="3" t="str">
        <f>TEXT(Table1_1[[#This Row],[Date]],"YYYY")</f>
        <v>2025</v>
      </c>
      <c r="D107" s="3" t="str">
        <f>TEXT(Table1_1[[#This Row],[Date]],"mmm")</f>
        <v>Jul</v>
      </c>
      <c r="E107" s="2" t="s">
        <v>16</v>
      </c>
      <c r="F107" s="2" t="str">
        <f>INDEX(IndiGo_Flight_Data!$R$2:$R$11,MATCH(Table1_1[[#This Row],[Route]],_xlfn.ANCHORARRAY(IndiGo_Flight_Data!$Q$2),0))</f>
        <v>Delhi - Goa</v>
      </c>
      <c r="G107" s="2" t="s">
        <v>43</v>
      </c>
      <c r="H107">
        <v>223</v>
      </c>
      <c r="I107">
        <v>232</v>
      </c>
      <c r="J107">
        <f>Table1_1[[#This Row],[Seat_Capacity]]-Table1_1[[#This Row],[Passengers]]</f>
        <v>9</v>
      </c>
      <c r="K107">
        <v>96.12</v>
      </c>
      <c r="L107" t="str" cm="1">
        <f t="array" ref="L107">_xlfn.IFS(Table1_1[[#This Row],[Load_Factor_%]]&lt;60,"Low",Table1_1[[#This Row],[Load_Factor_%]]&lt;85,"Intermediate",Table1_1[[#This Row],[Load_Factor_%]]&gt;=85,"High")</f>
        <v>High</v>
      </c>
      <c r="M107" s="4">
        <v>1896541</v>
      </c>
      <c r="N107" s="4">
        <v>34293</v>
      </c>
      <c r="O107" s="4">
        <f>SUM(Table1_1[[#This Row],[Ticket_Revenue_INR]:[Cargo_Revenue_INR]])</f>
        <v>1930834</v>
      </c>
      <c r="P107" s="4">
        <v>415772</v>
      </c>
      <c r="Q107" s="4">
        <v>1012744</v>
      </c>
      <c r="R107" s="4">
        <f>SUM(Table1_1[[#This Row],[Fuel_Cost_INR]:[Operating_Cost_INR]])</f>
        <v>1428516</v>
      </c>
      <c r="S107" s="4">
        <f>Table1_1[[#This Row],[Total_Revenue]]-Table1_1[[#This Row],[Total_Cost]]</f>
        <v>502318</v>
      </c>
      <c r="T107" s="9">
        <f>(Table1_1[[#This Row],[Total_Profit]]/Table1_1[[#This Row],[Total_Revenue]])</f>
        <v>0.2601559740505916</v>
      </c>
      <c r="U107" s="5">
        <v>45</v>
      </c>
      <c r="V107" s="6" t="s">
        <v>18</v>
      </c>
      <c r="W107" s="8">
        <v>4.8</v>
      </c>
      <c r="X107" t="str" cm="1">
        <f t="array" ref="X107">_xlfn.IFS(Table1_1[[#This Row],[Customer_Rating]]&lt;3,"Poor",Table1_1[[#This Row],[Customer_Rating]]&lt;4,"Good",Table1_1[[#This Row],[Customer_Rating]]&gt;=4,"Excellent")</f>
        <v>Excellent</v>
      </c>
    </row>
    <row r="108" spans="1:24" x14ac:dyDescent="0.35">
      <c r="A108" s="2" t="s">
        <v>227</v>
      </c>
      <c r="B108" s="3">
        <v>45881</v>
      </c>
      <c r="C108" s="3" t="str">
        <f>TEXT(Table1_1[[#This Row],[Date]],"YYYY")</f>
        <v>2025</v>
      </c>
      <c r="D108" s="3" t="str">
        <f>TEXT(Table1_1[[#This Row],[Date]],"mmm")</f>
        <v>Aug</v>
      </c>
      <c r="E108" s="2" t="s">
        <v>29</v>
      </c>
      <c r="F108" s="2" t="str">
        <f>INDEX(IndiGo_Flight_Data!$R$2:$R$11,MATCH(Table1_1[[#This Row],[Route]],_xlfn.ANCHORARRAY(IndiGo_Flight_Data!$Q$2),0))</f>
        <v>Calacatta - Delhi</v>
      </c>
      <c r="G108" s="2" t="s">
        <v>17</v>
      </c>
      <c r="H108">
        <v>62</v>
      </c>
      <c r="I108">
        <v>78</v>
      </c>
      <c r="J108">
        <f>Table1_1[[#This Row],[Seat_Capacity]]-Table1_1[[#This Row],[Passengers]]</f>
        <v>16</v>
      </c>
      <c r="K108">
        <v>79.489999999999995</v>
      </c>
      <c r="L108" t="str" cm="1">
        <f t="array" ref="L108">_xlfn.IFS(Table1_1[[#This Row],[Load_Factor_%]]&lt;60,"Low",Table1_1[[#This Row],[Load_Factor_%]]&lt;85,"Intermediate",Table1_1[[#This Row],[Load_Factor_%]]&gt;=85,"High")</f>
        <v>Intermediate</v>
      </c>
      <c r="M108" s="4">
        <v>320837</v>
      </c>
      <c r="N108" s="4">
        <v>71688</v>
      </c>
      <c r="O108" s="4">
        <f>SUM(Table1_1[[#This Row],[Ticket_Revenue_INR]:[Cargo_Revenue_INR]])</f>
        <v>392525</v>
      </c>
      <c r="P108" s="4">
        <v>567487</v>
      </c>
      <c r="Q108" s="4">
        <v>899977</v>
      </c>
      <c r="R108" s="4">
        <f>SUM(Table1_1[[#This Row],[Fuel_Cost_INR]:[Operating_Cost_INR]])</f>
        <v>1467464</v>
      </c>
      <c r="S108" s="4">
        <f>Table1_1[[#This Row],[Total_Revenue]]-Table1_1[[#This Row],[Total_Cost]]</f>
        <v>-1074939</v>
      </c>
      <c r="T108" s="9">
        <f>(Table1_1[[#This Row],[Total_Profit]]/Table1_1[[#This Row],[Total_Revenue]])</f>
        <v>-2.7385236609133177</v>
      </c>
      <c r="U108" s="5">
        <v>21</v>
      </c>
      <c r="V108" s="6" t="s">
        <v>18</v>
      </c>
      <c r="W108" s="8">
        <v>4.3</v>
      </c>
      <c r="X108" t="str" cm="1">
        <f t="array" ref="X108">_xlfn.IFS(Table1_1[[#This Row],[Customer_Rating]]&lt;3,"Poor",Table1_1[[#This Row],[Customer_Rating]]&lt;4,"Good",Table1_1[[#This Row],[Customer_Rating]]&gt;=4,"Excellent")</f>
        <v>Excellent</v>
      </c>
    </row>
    <row r="109" spans="1:24" x14ac:dyDescent="0.35">
      <c r="A109" s="2" t="s">
        <v>229</v>
      </c>
      <c r="B109" s="3">
        <v>45802</v>
      </c>
      <c r="C109" s="3" t="str">
        <f>TEXT(Table1_1[[#This Row],[Date]],"YYYY")</f>
        <v>2025</v>
      </c>
      <c r="D109" s="3" t="str">
        <f>TEXT(Table1_1[[#This Row],[Date]],"mmm")</f>
        <v>May</v>
      </c>
      <c r="E109" s="2" t="s">
        <v>117</v>
      </c>
      <c r="F109" s="2" t="str">
        <f>INDEX(IndiGo_Flight_Data!$R$2:$R$11,MATCH(Table1_1[[#This Row],[Route]],_xlfn.ANCHORARRAY(IndiGo_Flight_Data!$Q$2),0))</f>
        <v>Bengaluru - Calacatta</v>
      </c>
      <c r="G109" s="2" t="s">
        <v>17</v>
      </c>
      <c r="H109">
        <v>60</v>
      </c>
      <c r="I109">
        <v>78</v>
      </c>
      <c r="J109">
        <f>Table1_1[[#This Row],[Seat_Capacity]]-Table1_1[[#This Row],[Passengers]]</f>
        <v>18</v>
      </c>
      <c r="K109">
        <v>76.92</v>
      </c>
      <c r="L109" t="str" cm="1">
        <f t="array" ref="L109">_xlfn.IFS(Table1_1[[#This Row],[Load_Factor_%]]&lt;60,"Low",Table1_1[[#This Row],[Load_Factor_%]]&lt;85,"Intermediate",Table1_1[[#This Row],[Load_Factor_%]]&gt;=85,"High")</f>
        <v>Intermediate</v>
      </c>
      <c r="M109" s="4">
        <v>472703</v>
      </c>
      <c r="N109" s="4">
        <v>72581</v>
      </c>
      <c r="O109" s="4">
        <f>SUM(Table1_1[[#This Row],[Ticket_Revenue_INR]:[Cargo_Revenue_INR]])</f>
        <v>545284</v>
      </c>
      <c r="P109" s="4">
        <v>527267</v>
      </c>
      <c r="Q109" s="4">
        <v>831261</v>
      </c>
      <c r="R109" s="4">
        <f>SUM(Table1_1[[#This Row],[Fuel_Cost_INR]:[Operating_Cost_INR]])</f>
        <v>1358528</v>
      </c>
      <c r="S109" s="4">
        <f>Table1_1[[#This Row],[Total_Revenue]]-Table1_1[[#This Row],[Total_Cost]]</f>
        <v>-813244</v>
      </c>
      <c r="T109" s="9">
        <f>(Table1_1[[#This Row],[Total_Profit]]/Table1_1[[#This Row],[Total_Revenue]])</f>
        <v>-1.4914136486674834</v>
      </c>
      <c r="U109" s="5">
        <v>73</v>
      </c>
      <c r="V109" s="6" t="s">
        <v>18</v>
      </c>
      <c r="W109" s="8">
        <v>4.5999999999999996</v>
      </c>
      <c r="X109" t="str" cm="1">
        <f t="array" ref="X109">_xlfn.IFS(Table1_1[[#This Row],[Customer_Rating]]&lt;3,"Poor",Table1_1[[#This Row],[Customer_Rating]]&lt;4,"Good",Table1_1[[#This Row],[Customer_Rating]]&gt;=4,"Excellent")</f>
        <v>Excellent</v>
      </c>
    </row>
    <row r="110" spans="1:24" x14ac:dyDescent="0.35">
      <c r="A110" s="2" t="s">
        <v>230</v>
      </c>
      <c r="B110" s="3">
        <v>45818</v>
      </c>
      <c r="C110" s="3" t="str">
        <f>TEXT(Table1_1[[#This Row],[Date]],"YYYY")</f>
        <v>2025</v>
      </c>
      <c r="D110" s="3" t="str">
        <f>TEXT(Table1_1[[#This Row],[Date]],"mmm")</f>
        <v>Jun</v>
      </c>
      <c r="E110" s="2" t="s">
        <v>117</v>
      </c>
      <c r="F110" s="2" t="str">
        <f>INDEX(IndiGo_Flight_Data!$R$2:$R$11,MATCH(Table1_1[[#This Row],[Route]],_xlfn.ANCHORARRAY(IndiGo_Flight_Data!$Q$2),0))</f>
        <v>Bengaluru - Calacatta</v>
      </c>
      <c r="G110" s="2" t="s">
        <v>43</v>
      </c>
      <c r="H110">
        <v>212</v>
      </c>
      <c r="I110">
        <v>232</v>
      </c>
      <c r="J110">
        <f>Table1_1[[#This Row],[Seat_Capacity]]-Table1_1[[#This Row],[Passengers]]</f>
        <v>20</v>
      </c>
      <c r="K110">
        <v>91.38</v>
      </c>
      <c r="L110" t="str" cm="1">
        <f t="array" ref="L110">_xlfn.IFS(Table1_1[[#This Row],[Load_Factor_%]]&lt;60,"Low",Table1_1[[#This Row],[Load_Factor_%]]&lt;85,"Intermediate",Table1_1[[#This Row],[Load_Factor_%]]&gt;=85,"High")</f>
        <v>High</v>
      </c>
      <c r="M110" s="4">
        <v>1692216</v>
      </c>
      <c r="N110" s="4">
        <v>46564</v>
      </c>
      <c r="O110" s="4">
        <f>SUM(Table1_1[[#This Row],[Ticket_Revenue_INR]:[Cargo_Revenue_INR]])</f>
        <v>1738780</v>
      </c>
      <c r="P110" s="4">
        <v>663311</v>
      </c>
      <c r="Q110" s="4">
        <v>1049622</v>
      </c>
      <c r="R110" s="4">
        <f>SUM(Table1_1[[#This Row],[Fuel_Cost_INR]:[Operating_Cost_INR]])</f>
        <v>1712933</v>
      </c>
      <c r="S110" s="4">
        <f>Table1_1[[#This Row],[Total_Revenue]]-Table1_1[[#This Row],[Total_Cost]]</f>
        <v>25847</v>
      </c>
      <c r="T110" s="9">
        <f>(Table1_1[[#This Row],[Total_Profit]]/Table1_1[[#This Row],[Total_Revenue]])</f>
        <v>1.4865020301590771E-2</v>
      </c>
      <c r="U110" s="5">
        <v>78</v>
      </c>
      <c r="V110" s="6" t="s">
        <v>18</v>
      </c>
      <c r="W110" s="8">
        <v>4.9000000000000004</v>
      </c>
      <c r="X110" t="str" cm="1">
        <f t="array" ref="X110">_xlfn.IFS(Table1_1[[#This Row],[Customer_Rating]]&lt;3,"Poor",Table1_1[[#This Row],[Customer_Rating]]&lt;4,"Good",Table1_1[[#This Row],[Customer_Rating]]&gt;=4,"Excellent")</f>
        <v>Excellent</v>
      </c>
    </row>
    <row r="111" spans="1:24" x14ac:dyDescent="0.35">
      <c r="A111" s="2" t="s">
        <v>231</v>
      </c>
      <c r="B111" s="3">
        <v>45980</v>
      </c>
      <c r="C111" s="3" t="str">
        <f>TEXT(Table1_1[[#This Row],[Date]],"YYYY")</f>
        <v>2025</v>
      </c>
      <c r="D111" s="3" t="str">
        <f>TEXT(Table1_1[[#This Row],[Date]],"mmm")</f>
        <v>Nov</v>
      </c>
      <c r="E111" s="2" t="s">
        <v>39</v>
      </c>
      <c r="F111" s="2" t="str">
        <f>INDEX(IndiGo_Flight_Data!$R$2:$R$11,MATCH(Table1_1[[#This Row],[Route]],_xlfn.ANCHORARRAY(IndiGo_Flight_Data!$Q$2),0))</f>
        <v>Bengaluru - Delhi</v>
      </c>
      <c r="G111" s="2" t="s">
        <v>43</v>
      </c>
      <c r="H111">
        <v>180</v>
      </c>
      <c r="I111">
        <v>232</v>
      </c>
      <c r="J111">
        <f>Table1_1[[#This Row],[Seat_Capacity]]-Table1_1[[#This Row],[Passengers]]</f>
        <v>52</v>
      </c>
      <c r="K111">
        <v>77.59</v>
      </c>
      <c r="L111" t="str" cm="1">
        <f t="array" ref="L111">_xlfn.IFS(Table1_1[[#This Row],[Load_Factor_%]]&lt;60,"Low",Table1_1[[#This Row],[Load_Factor_%]]&lt;85,"Intermediate",Table1_1[[#This Row],[Load_Factor_%]]&gt;=85,"High")</f>
        <v>Intermediate</v>
      </c>
      <c r="M111" s="4">
        <v>881028</v>
      </c>
      <c r="N111" s="4">
        <v>19533</v>
      </c>
      <c r="O111" s="4">
        <f>SUM(Table1_1[[#This Row],[Ticket_Revenue_INR]:[Cargo_Revenue_INR]])</f>
        <v>900561</v>
      </c>
      <c r="P111" s="4">
        <v>1098565</v>
      </c>
      <c r="Q111" s="4">
        <v>1678983</v>
      </c>
      <c r="R111" s="4">
        <f>SUM(Table1_1[[#This Row],[Fuel_Cost_INR]:[Operating_Cost_INR]])</f>
        <v>2777548</v>
      </c>
      <c r="S111" s="4">
        <f>Table1_1[[#This Row],[Total_Revenue]]-Table1_1[[#This Row],[Total_Cost]]</f>
        <v>-1876987</v>
      </c>
      <c r="T111" s="9">
        <f>(Table1_1[[#This Row],[Total_Profit]]/Table1_1[[#This Row],[Total_Revenue]])</f>
        <v>-2.0842419336391429</v>
      </c>
      <c r="U111" s="5">
        <v>47</v>
      </c>
      <c r="V111" s="6" t="s">
        <v>18</v>
      </c>
      <c r="W111" s="8">
        <v>4.5</v>
      </c>
      <c r="X111" t="str" cm="1">
        <f t="array" ref="X111">_xlfn.IFS(Table1_1[[#This Row],[Customer_Rating]]&lt;3,"Poor",Table1_1[[#This Row],[Customer_Rating]]&lt;4,"Good",Table1_1[[#This Row],[Customer_Rating]]&gt;=4,"Excellent")</f>
        <v>Excellent</v>
      </c>
    </row>
    <row r="112" spans="1:24" x14ac:dyDescent="0.35">
      <c r="A112" s="2" t="s">
        <v>232</v>
      </c>
      <c r="B112" s="3">
        <v>45860</v>
      </c>
      <c r="C112" s="3" t="str">
        <f>TEXT(Table1_1[[#This Row],[Date]],"YYYY")</f>
        <v>2025</v>
      </c>
      <c r="D112" s="3" t="str">
        <f>TEXT(Table1_1[[#This Row],[Date]],"mmm")</f>
        <v>Jul</v>
      </c>
      <c r="E112" s="2" t="s">
        <v>39</v>
      </c>
      <c r="F112" s="2" t="str">
        <f>INDEX(IndiGo_Flight_Data!$R$2:$R$11,MATCH(Table1_1[[#This Row],[Route]],_xlfn.ANCHORARRAY(IndiGo_Flight_Data!$Q$2),0))</f>
        <v>Bengaluru - Delhi</v>
      </c>
      <c r="G112" s="2" t="s">
        <v>17</v>
      </c>
      <c r="H112">
        <v>65</v>
      </c>
      <c r="I112">
        <v>78</v>
      </c>
      <c r="J112">
        <f>Table1_1[[#This Row],[Seat_Capacity]]-Table1_1[[#This Row],[Passengers]]</f>
        <v>13</v>
      </c>
      <c r="K112">
        <v>83.33</v>
      </c>
      <c r="L112" t="str" cm="1">
        <f t="array" ref="L112">_xlfn.IFS(Table1_1[[#This Row],[Load_Factor_%]]&lt;60,"Low",Table1_1[[#This Row],[Load_Factor_%]]&lt;85,"Intermediate",Table1_1[[#This Row],[Load_Factor_%]]&gt;=85,"High")</f>
        <v>Intermediate</v>
      </c>
      <c r="M112" s="4">
        <v>583285</v>
      </c>
      <c r="N112" s="4">
        <v>121567</v>
      </c>
      <c r="O112" s="4">
        <f>SUM(Table1_1[[#This Row],[Ticket_Revenue_INR]:[Cargo_Revenue_INR]])</f>
        <v>704852</v>
      </c>
      <c r="P112" s="4">
        <v>398323</v>
      </c>
      <c r="Q112" s="4">
        <v>616394</v>
      </c>
      <c r="R112" s="4">
        <f>SUM(Table1_1[[#This Row],[Fuel_Cost_INR]:[Operating_Cost_INR]])</f>
        <v>1014717</v>
      </c>
      <c r="S112" s="4">
        <f>Table1_1[[#This Row],[Total_Revenue]]-Table1_1[[#This Row],[Total_Cost]]</f>
        <v>-309865</v>
      </c>
      <c r="T112" s="9">
        <f>(Table1_1[[#This Row],[Total_Profit]]/Table1_1[[#This Row],[Total_Revenue]])</f>
        <v>-0.43961711110985002</v>
      </c>
      <c r="U112" s="5">
        <v>16</v>
      </c>
      <c r="V112" s="6" t="s">
        <v>18</v>
      </c>
      <c r="W112" s="8">
        <v>3.4</v>
      </c>
      <c r="X112" t="str" cm="1">
        <f t="array" ref="X112">_xlfn.IFS(Table1_1[[#This Row],[Customer_Rating]]&lt;3,"Poor",Table1_1[[#This Row],[Customer_Rating]]&lt;4,"Good",Table1_1[[#This Row],[Customer_Rating]]&gt;=4,"Excellent")</f>
        <v>Good</v>
      </c>
    </row>
    <row r="113" spans="1:24" x14ac:dyDescent="0.35">
      <c r="A113" s="2" t="s">
        <v>234</v>
      </c>
      <c r="B113" s="3">
        <v>45902</v>
      </c>
      <c r="C113" s="3" t="str">
        <f>TEXT(Table1_1[[#This Row],[Date]],"YYYY")</f>
        <v>2025</v>
      </c>
      <c r="D113" s="3" t="str">
        <f>TEXT(Table1_1[[#This Row],[Date]],"mmm")</f>
        <v>Sep</v>
      </c>
      <c r="E113" s="2" t="s">
        <v>21</v>
      </c>
      <c r="F113" s="2" t="str">
        <f>INDEX(IndiGo_Flight_Data!$R$2:$R$11,MATCH(Table1_1[[#This Row],[Route]],_xlfn.ANCHORARRAY(IndiGo_Flight_Data!$Q$2),0))</f>
        <v>Bengaluru - Hyderabad</v>
      </c>
      <c r="G113" s="2" t="s">
        <v>24</v>
      </c>
      <c r="H113">
        <v>158</v>
      </c>
      <c r="I113">
        <v>180</v>
      </c>
      <c r="J113">
        <f>Table1_1[[#This Row],[Seat_Capacity]]-Table1_1[[#This Row],[Passengers]]</f>
        <v>22</v>
      </c>
      <c r="K113">
        <v>87.78</v>
      </c>
      <c r="L113" t="str" cm="1">
        <f t="array" ref="L113">_xlfn.IFS(Table1_1[[#This Row],[Load_Factor_%]]&lt;60,"Low",Table1_1[[#This Row],[Load_Factor_%]]&lt;85,"Intermediate",Table1_1[[#This Row],[Load_Factor_%]]&gt;=85,"High")</f>
        <v>High</v>
      </c>
      <c r="M113" s="4">
        <v>1333241</v>
      </c>
      <c r="N113" s="4">
        <v>135240</v>
      </c>
      <c r="O113" s="4">
        <f>SUM(Table1_1[[#This Row],[Ticket_Revenue_INR]:[Cargo_Revenue_INR]])</f>
        <v>1468481</v>
      </c>
      <c r="P113" s="4">
        <v>984045</v>
      </c>
      <c r="Q113" s="4">
        <v>1407378</v>
      </c>
      <c r="R113" s="4">
        <f>SUM(Table1_1[[#This Row],[Fuel_Cost_INR]:[Operating_Cost_INR]])</f>
        <v>2391423</v>
      </c>
      <c r="S113" s="4">
        <f>Table1_1[[#This Row],[Total_Revenue]]-Table1_1[[#This Row],[Total_Cost]]</f>
        <v>-922942</v>
      </c>
      <c r="T113" s="9">
        <f>(Table1_1[[#This Row],[Total_Profit]]/Table1_1[[#This Row],[Total_Revenue]])</f>
        <v>-0.62850115187053834</v>
      </c>
      <c r="U113" s="5">
        <v>46</v>
      </c>
      <c r="V113" s="6" t="s">
        <v>18</v>
      </c>
      <c r="W113" s="8">
        <v>3.4</v>
      </c>
      <c r="X113" t="str" cm="1">
        <f t="array" ref="X113">_xlfn.IFS(Table1_1[[#This Row],[Customer_Rating]]&lt;3,"Poor",Table1_1[[#This Row],[Customer_Rating]]&lt;4,"Good",Table1_1[[#This Row],[Customer_Rating]]&gt;=4,"Excellent")</f>
        <v>Good</v>
      </c>
    </row>
    <row r="114" spans="1:24" x14ac:dyDescent="0.35">
      <c r="A114" s="2" t="s">
        <v>236</v>
      </c>
      <c r="B114" s="3">
        <v>45765</v>
      </c>
      <c r="C114" s="3" t="str">
        <f>TEXT(Table1_1[[#This Row],[Date]],"YYYY")</f>
        <v>2025</v>
      </c>
      <c r="D114" s="3" t="str">
        <f>TEXT(Table1_1[[#This Row],[Date]],"mmm")</f>
        <v>Apr</v>
      </c>
      <c r="E114" s="2" t="s">
        <v>32</v>
      </c>
      <c r="F114" s="2" t="str">
        <f>INDEX(IndiGo_Flight_Data!$R$2:$R$11,MATCH(Table1_1[[#This Row],[Route]],_xlfn.ANCHORARRAY(IndiGo_Flight_Data!$Q$2),0))</f>
        <v>Bengaluru - Cochin</v>
      </c>
      <c r="G114" s="2" t="s">
        <v>24</v>
      </c>
      <c r="H114">
        <v>113</v>
      </c>
      <c r="I114">
        <v>180</v>
      </c>
      <c r="J114">
        <f>Table1_1[[#This Row],[Seat_Capacity]]-Table1_1[[#This Row],[Passengers]]</f>
        <v>67</v>
      </c>
      <c r="K114">
        <v>62.78</v>
      </c>
      <c r="L114" t="str" cm="1">
        <f t="array" ref="L114">_xlfn.IFS(Table1_1[[#This Row],[Load_Factor_%]]&lt;60,"Low",Table1_1[[#This Row],[Load_Factor_%]]&lt;85,"Intermediate",Table1_1[[#This Row],[Load_Factor_%]]&gt;=85,"High")</f>
        <v>Intermediate</v>
      </c>
      <c r="M114" s="4">
        <v>661939</v>
      </c>
      <c r="N114" s="4">
        <v>28516</v>
      </c>
      <c r="O114" s="4">
        <f>SUM(Table1_1[[#This Row],[Ticket_Revenue_INR]:[Cargo_Revenue_INR]])</f>
        <v>690455</v>
      </c>
      <c r="P114" s="4">
        <v>866752</v>
      </c>
      <c r="Q114" s="4">
        <v>1003604</v>
      </c>
      <c r="R114" s="4">
        <f>SUM(Table1_1[[#This Row],[Fuel_Cost_INR]:[Operating_Cost_INR]])</f>
        <v>1870356</v>
      </c>
      <c r="S114" s="4">
        <f>Table1_1[[#This Row],[Total_Revenue]]-Table1_1[[#This Row],[Total_Cost]]</f>
        <v>-1179901</v>
      </c>
      <c r="T114" s="9">
        <f>(Table1_1[[#This Row],[Total_Profit]]/Table1_1[[#This Row],[Total_Revenue]])</f>
        <v>-1.7088745827027105</v>
      </c>
      <c r="U114" s="5">
        <v>77</v>
      </c>
      <c r="V114" s="6" t="s">
        <v>18</v>
      </c>
      <c r="W114" s="8">
        <v>4.5</v>
      </c>
      <c r="X114" t="str" cm="1">
        <f t="array" ref="X114">_xlfn.IFS(Table1_1[[#This Row],[Customer_Rating]]&lt;3,"Poor",Table1_1[[#This Row],[Customer_Rating]]&lt;4,"Good",Table1_1[[#This Row],[Customer_Rating]]&gt;=4,"Excellent")</f>
        <v>Excellent</v>
      </c>
    </row>
    <row r="115" spans="1:24" x14ac:dyDescent="0.35">
      <c r="A115" s="2" t="s">
        <v>238</v>
      </c>
      <c r="B115" s="3">
        <v>45904</v>
      </c>
      <c r="C115" s="3" t="str">
        <f>TEXT(Table1_1[[#This Row],[Date]],"YYYY")</f>
        <v>2025</v>
      </c>
      <c r="D115" s="3" t="str">
        <f>TEXT(Table1_1[[#This Row],[Date]],"mmm")</f>
        <v>Sep</v>
      </c>
      <c r="E115" s="2" t="s">
        <v>16</v>
      </c>
      <c r="F115" s="2" t="str">
        <f>INDEX(IndiGo_Flight_Data!$R$2:$R$11,MATCH(Table1_1[[#This Row],[Route]],_xlfn.ANCHORARRAY(IndiGo_Flight_Data!$Q$2),0))</f>
        <v>Delhi - Goa</v>
      </c>
      <c r="G115" s="2" t="s">
        <v>43</v>
      </c>
      <c r="H115">
        <v>206</v>
      </c>
      <c r="I115">
        <v>232</v>
      </c>
      <c r="J115">
        <f>Table1_1[[#This Row],[Seat_Capacity]]-Table1_1[[#This Row],[Passengers]]</f>
        <v>26</v>
      </c>
      <c r="K115">
        <v>88.79</v>
      </c>
      <c r="L115" t="str" cm="1">
        <f t="array" ref="L115">_xlfn.IFS(Table1_1[[#This Row],[Load_Factor_%]]&lt;60,"Low",Table1_1[[#This Row],[Load_Factor_%]]&lt;85,"Intermediate",Table1_1[[#This Row],[Load_Factor_%]]&gt;=85,"High")</f>
        <v>High</v>
      </c>
      <c r="M115" s="4">
        <v>1463379</v>
      </c>
      <c r="N115" s="4">
        <v>124318</v>
      </c>
      <c r="O115" s="4">
        <f>SUM(Table1_1[[#This Row],[Ticket_Revenue_INR]:[Cargo_Revenue_INR]])</f>
        <v>1587697</v>
      </c>
      <c r="P115" s="4">
        <v>817159</v>
      </c>
      <c r="Q115" s="4">
        <v>1496991</v>
      </c>
      <c r="R115" s="4">
        <f>SUM(Table1_1[[#This Row],[Fuel_Cost_INR]:[Operating_Cost_INR]])</f>
        <v>2314150</v>
      </c>
      <c r="S115" s="4">
        <f>Table1_1[[#This Row],[Total_Revenue]]-Table1_1[[#This Row],[Total_Cost]]</f>
        <v>-726453</v>
      </c>
      <c r="T115" s="9">
        <f>(Table1_1[[#This Row],[Total_Profit]]/Table1_1[[#This Row],[Total_Revenue]])</f>
        <v>-0.45755140936841221</v>
      </c>
      <c r="U115" s="5">
        <v>78</v>
      </c>
      <c r="V115" s="6" t="s">
        <v>18</v>
      </c>
      <c r="W115" s="8">
        <v>4.5</v>
      </c>
      <c r="X115" t="str" cm="1">
        <f t="array" ref="X115">_xlfn.IFS(Table1_1[[#This Row],[Customer_Rating]]&lt;3,"Poor",Table1_1[[#This Row],[Customer_Rating]]&lt;4,"Good",Table1_1[[#This Row],[Customer_Rating]]&gt;=4,"Excellent")</f>
        <v>Excellent</v>
      </c>
    </row>
    <row r="116" spans="1:24" x14ac:dyDescent="0.35">
      <c r="A116" s="2" t="s">
        <v>240</v>
      </c>
      <c r="B116" s="3">
        <v>45736</v>
      </c>
      <c r="C116" s="3" t="str">
        <f>TEXT(Table1_1[[#This Row],[Date]],"YYYY")</f>
        <v>2025</v>
      </c>
      <c r="D116" s="3" t="str">
        <f>TEXT(Table1_1[[#This Row],[Date]],"mmm")</f>
        <v>Mar</v>
      </c>
      <c r="E116" s="2" t="s">
        <v>16</v>
      </c>
      <c r="F116" s="2" t="str">
        <f>INDEX(IndiGo_Flight_Data!$R$2:$R$11,MATCH(Table1_1[[#This Row],[Route]],_xlfn.ANCHORARRAY(IndiGo_Flight_Data!$Q$2),0))</f>
        <v>Delhi - Goa</v>
      </c>
      <c r="G116" s="2" t="s">
        <v>43</v>
      </c>
      <c r="H116">
        <v>222</v>
      </c>
      <c r="I116">
        <v>232</v>
      </c>
      <c r="J116">
        <f>Table1_1[[#This Row],[Seat_Capacity]]-Table1_1[[#This Row],[Passengers]]</f>
        <v>10</v>
      </c>
      <c r="K116">
        <v>95.69</v>
      </c>
      <c r="L116" t="str" cm="1">
        <f t="array" ref="L116">_xlfn.IFS(Table1_1[[#This Row],[Load_Factor_%]]&lt;60,"Low",Table1_1[[#This Row],[Load_Factor_%]]&lt;85,"Intermediate",Table1_1[[#This Row],[Load_Factor_%]]&gt;=85,"High")</f>
        <v>High</v>
      </c>
      <c r="M116" s="4">
        <v>909427</v>
      </c>
      <c r="N116" s="4">
        <v>61842</v>
      </c>
      <c r="O116" s="4">
        <f>SUM(Table1_1[[#This Row],[Ticket_Revenue_INR]:[Cargo_Revenue_INR]])</f>
        <v>971269</v>
      </c>
      <c r="P116" s="4">
        <v>450698</v>
      </c>
      <c r="Q116" s="4">
        <v>847870</v>
      </c>
      <c r="R116" s="4">
        <f>SUM(Table1_1[[#This Row],[Fuel_Cost_INR]:[Operating_Cost_INR]])</f>
        <v>1298568</v>
      </c>
      <c r="S116" s="4">
        <f>Table1_1[[#This Row],[Total_Revenue]]-Table1_1[[#This Row],[Total_Cost]]</f>
        <v>-327299</v>
      </c>
      <c r="T116" s="9">
        <f>(Table1_1[[#This Row],[Total_Profit]]/Table1_1[[#This Row],[Total_Revenue]])</f>
        <v>-0.33698079522768665</v>
      </c>
      <c r="U116" s="5">
        <v>50</v>
      </c>
      <c r="V116" s="6" t="s">
        <v>18</v>
      </c>
      <c r="W116" s="8">
        <v>4.5999999999999996</v>
      </c>
      <c r="X116" t="str" cm="1">
        <f t="array" ref="X116">_xlfn.IFS(Table1_1[[#This Row],[Customer_Rating]]&lt;3,"Poor",Table1_1[[#This Row],[Customer_Rating]]&lt;4,"Good",Table1_1[[#This Row],[Customer_Rating]]&gt;=4,"Excellent")</f>
        <v>Excellent</v>
      </c>
    </row>
    <row r="117" spans="1:24" x14ac:dyDescent="0.35">
      <c r="A117" s="2" t="s">
        <v>242</v>
      </c>
      <c r="B117" s="3">
        <v>45801</v>
      </c>
      <c r="C117" s="3" t="str">
        <f>TEXT(Table1_1[[#This Row],[Date]],"YYYY")</f>
        <v>2025</v>
      </c>
      <c r="D117" s="3" t="str">
        <f>TEXT(Table1_1[[#This Row],[Date]],"mmm")</f>
        <v>May</v>
      </c>
      <c r="E117" s="2" t="s">
        <v>42</v>
      </c>
      <c r="F117" s="2" t="str">
        <f>INDEX(IndiGo_Flight_Data!$R$2:$R$11,MATCH(Table1_1[[#This Row],[Route]],_xlfn.ANCHORARRAY(IndiGo_Flight_Data!$Q$2),0))</f>
        <v>Bombay - Hyderabad</v>
      </c>
      <c r="G117" s="2" t="s">
        <v>43</v>
      </c>
      <c r="H117">
        <v>222</v>
      </c>
      <c r="I117">
        <v>232</v>
      </c>
      <c r="J117">
        <f>Table1_1[[#This Row],[Seat_Capacity]]-Table1_1[[#This Row],[Passengers]]</f>
        <v>10</v>
      </c>
      <c r="K117">
        <v>95.69</v>
      </c>
      <c r="L117" t="str" cm="1">
        <f t="array" ref="L117">_xlfn.IFS(Table1_1[[#This Row],[Load_Factor_%]]&lt;60,"Low",Table1_1[[#This Row],[Load_Factor_%]]&lt;85,"Intermediate",Table1_1[[#This Row],[Load_Factor_%]]&gt;=85,"High")</f>
        <v>High</v>
      </c>
      <c r="M117" s="4">
        <v>1966553</v>
      </c>
      <c r="N117" s="4">
        <v>41060</v>
      </c>
      <c r="O117" s="4">
        <f>SUM(Table1_1[[#This Row],[Ticket_Revenue_INR]:[Cargo_Revenue_INR]])</f>
        <v>2007613</v>
      </c>
      <c r="P117" s="4">
        <v>1151681</v>
      </c>
      <c r="Q117" s="4">
        <v>1492143</v>
      </c>
      <c r="R117" s="4">
        <f>SUM(Table1_1[[#This Row],[Fuel_Cost_INR]:[Operating_Cost_INR]])</f>
        <v>2643824</v>
      </c>
      <c r="S117" s="4">
        <f>Table1_1[[#This Row],[Total_Revenue]]-Table1_1[[#This Row],[Total_Cost]]</f>
        <v>-636211</v>
      </c>
      <c r="T117" s="9">
        <f>(Table1_1[[#This Row],[Total_Profit]]/Table1_1[[#This Row],[Total_Revenue]])</f>
        <v>-0.31689922310724228</v>
      </c>
      <c r="U117" s="5">
        <v>36</v>
      </c>
      <c r="V117" s="6" t="s">
        <v>18</v>
      </c>
      <c r="W117" s="8">
        <v>3.5</v>
      </c>
      <c r="X117" t="str" cm="1">
        <f t="array" ref="X117">_xlfn.IFS(Table1_1[[#This Row],[Customer_Rating]]&lt;3,"Poor",Table1_1[[#This Row],[Customer_Rating]]&lt;4,"Good",Table1_1[[#This Row],[Customer_Rating]]&gt;=4,"Excellent")</f>
        <v>Good</v>
      </c>
    </row>
    <row r="118" spans="1:24" x14ac:dyDescent="0.35">
      <c r="A118" s="2" t="s">
        <v>244</v>
      </c>
      <c r="B118" s="3">
        <v>45913</v>
      </c>
      <c r="C118" s="3" t="str">
        <f>TEXT(Table1_1[[#This Row],[Date]],"YYYY")</f>
        <v>2025</v>
      </c>
      <c r="D118" s="3" t="str">
        <f>TEXT(Table1_1[[#This Row],[Date]],"mmm")</f>
        <v>Sep</v>
      </c>
      <c r="E118" s="2" t="s">
        <v>59</v>
      </c>
      <c r="F118" s="2" t="str">
        <f>INDEX(IndiGo_Flight_Data!$R$2:$R$11,MATCH(Table1_1[[#This Row],[Route]],_xlfn.ANCHORARRAY(IndiGo_Flight_Data!$Q$2),0))</f>
        <v>Bengaluru - Bombay</v>
      </c>
      <c r="G118" s="2" t="s">
        <v>43</v>
      </c>
      <c r="H118">
        <v>220</v>
      </c>
      <c r="I118">
        <v>232</v>
      </c>
      <c r="J118">
        <f>Table1_1[[#This Row],[Seat_Capacity]]-Table1_1[[#This Row],[Passengers]]</f>
        <v>12</v>
      </c>
      <c r="K118">
        <v>94.83</v>
      </c>
      <c r="L118" t="str" cm="1">
        <f t="array" ref="L118">_xlfn.IFS(Table1_1[[#This Row],[Load_Factor_%]]&lt;60,"Low",Table1_1[[#This Row],[Load_Factor_%]]&lt;85,"Intermediate",Table1_1[[#This Row],[Load_Factor_%]]&gt;=85,"High")</f>
        <v>High</v>
      </c>
      <c r="M118" s="4">
        <v>1967839</v>
      </c>
      <c r="N118" s="4">
        <v>51733</v>
      </c>
      <c r="O118" s="4">
        <f>SUM(Table1_1[[#This Row],[Ticket_Revenue_INR]:[Cargo_Revenue_INR]])</f>
        <v>2019572</v>
      </c>
      <c r="P118" s="4">
        <v>638071</v>
      </c>
      <c r="Q118" s="4">
        <v>1116703</v>
      </c>
      <c r="R118" s="4">
        <f>SUM(Table1_1[[#This Row],[Fuel_Cost_INR]:[Operating_Cost_INR]])</f>
        <v>1754774</v>
      </c>
      <c r="S118" s="4">
        <f>Table1_1[[#This Row],[Total_Revenue]]-Table1_1[[#This Row],[Total_Cost]]</f>
        <v>264798</v>
      </c>
      <c r="T118" s="9">
        <f>(Table1_1[[#This Row],[Total_Profit]]/Table1_1[[#This Row],[Total_Revenue]])</f>
        <v>0.13111589980451305</v>
      </c>
      <c r="U118" s="5">
        <v>25</v>
      </c>
      <c r="V118" s="6" t="s">
        <v>18</v>
      </c>
      <c r="W118" s="8">
        <v>4.5999999999999996</v>
      </c>
      <c r="X118" t="str" cm="1">
        <f t="array" ref="X118">_xlfn.IFS(Table1_1[[#This Row],[Customer_Rating]]&lt;3,"Poor",Table1_1[[#This Row],[Customer_Rating]]&lt;4,"Good",Table1_1[[#This Row],[Customer_Rating]]&gt;=4,"Excellent")</f>
        <v>Excellent</v>
      </c>
    </row>
    <row r="119" spans="1:24" x14ac:dyDescent="0.35">
      <c r="A119" s="2" t="s">
        <v>245</v>
      </c>
      <c r="B119" s="3">
        <v>45973</v>
      </c>
      <c r="C119" s="3" t="str">
        <f>TEXT(Table1_1[[#This Row],[Date]],"YYYY")</f>
        <v>2025</v>
      </c>
      <c r="D119" s="3" t="str">
        <f>TEXT(Table1_1[[#This Row],[Date]],"mmm")</f>
        <v>Nov</v>
      </c>
      <c r="E119" s="2" t="s">
        <v>29</v>
      </c>
      <c r="F119" s="2" t="str">
        <f>INDEX(IndiGo_Flight_Data!$R$2:$R$11,MATCH(Table1_1[[#This Row],[Route]],_xlfn.ANCHORARRAY(IndiGo_Flight_Data!$Q$2),0))</f>
        <v>Calacatta - Delhi</v>
      </c>
      <c r="G119" s="2" t="s">
        <v>17</v>
      </c>
      <c r="H119">
        <v>49</v>
      </c>
      <c r="I119">
        <v>78</v>
      </c>
      <c r="J119">
        <f>Table1_1[[#This Row],[Seat_Capacity]]-Table1_1[[#This Row],[Passengers]]</f>
        <v>29</v>
      </c>
      <c r="K119">
        <v>62.82</v>
      </c>
      <c r="L119" t="str" cm="1">
        <f t="array" ref="L119">_xlfn.IFS(Table1_1[[#This Row],[Load_Factor_%]]&lt;60,"Low",Table1_1[[#This Row],[Load_Factor_%]]&lt;85,"Intermediate",Table1_1[[#This Row],[Load_Factor_%]]&gt;=85,"High")</f>
        <v>Intermediate</v>
      </c>
      <c r="M119" s="4">
        <v>372702</v>
      </c>
      <c r="N119" s="4">
        <v>24344</v>
      </c>
      <c r="O119" s="4">
        <f>SUM(Table1_1[[#This Row],[Ticket_Revenue_INR]:[Cargo_Revenue_INR]])</f>
        <v>397046</v>
      </c>
      <c r="P119" s="4">
        <v>1134111</v>
      </c>
      <c r="Q119" s="4">
        <v>1478607</v>
      </c>
      <c r="R119" s="4">
        <f>SUM(Table1_1[[#This Row],[Fuel_Cost_INR]:[Operating_Cost_INR]])</f>
        <v>2612718</v>
      </c>
      <c r="S119" s="4">
        <f>Table1_1[[#This Row],[Total_Revenue]]-Table1_1[[#This Row],[Total_Cost]]</f>
        <v>-2215672</v>
      </c>
      <c r="T119" s="9">
        <f>(Table1_1[[#This Row],[Total_Profit]]/Table1_1[[#This Row],[Total_Revenue]])</f>
        <v>-5.5803911889302498</v>
      </c>
      <c r="U119" s="5">
        <v>19</v>
      </c>
      <c r="V119" s="6" t="s">
        <v>18</v>
      </c>
      <c r="W119" s="8">
        <v>3.7</v>
      </c>
      <c r="X119" t="str" cm="1">
        <f t="array" ref="X119">_xlfn.IFS(Table1_1[[#This Row],[Customer_Rating]]&lt;3,"Poor",Table1_1[[#This Row],[Customer_Rating]]&lt;4,"Good",Table1_1[[#This Row],[Customer_Rating]]&gt;=4,"Excellent")</f>
        <v>Good</v>
      </c>
    </row>
    <row r="120" spans="1:24" x14ac:dyDescent="0.35">
      <c r="A120" s="2" t="s">
        <v>247</v>
      </c>
      <c r="B120" s="3">
        <v>45904</v>
      </c>
      <c r="C120" s="3" t="str">
        <f>TEXT(Table1_1[[#This Row],[Date]],"YYYY")</f>
        <v>2025</v>
      </c>
      <c r="D120" s="3" t="str">
        <f>TEXT(Table1_1[[#This Row],[Date]],"mmm")</f>
        <v>Sep</v>
      </c>
      <c r="E120" s="2" t="s">
        <v>39</v>
      </c>
      <c r="F120" s="2" t="str">
        <f>INDEX(IndiGo_Flight_Data!$R$2:$R$11,MATCH(Table1_1[[#This Row],[Route]],_xlfn.ANCHORARRAY(IndiGo_Flight_Data!$Q$2),0))</f>
        <v>Bengaluru - Delhi</v>
      </c>
      <c r="G120" s="2" t="s">
        <v>24</v>
      </c>
      <c r="H120">
        <v>112</v>
      </c>
      <c r="I120">
        <v>180</v>
      </c>
      <c r="J120">
        <f>Table1_1[[#This Row],[Seat_Capacity]]-Table1_1[[#This Row],[Passengers]]</f>
        <v>68</v>
      </c>
      <c r="K120">
        <v>62.22</v>
      </c>
      <c r="L120" t="str" cm="1">
        <f t="array" ref="L120">_xlfn.IFS(Table1_1[[#This Row],[Load_Factor_%]]&lt;60,"Low",Table1_1[[#This Row],[Load_Factor_%]]&lt;85,"Intermediate",Table1_1[[#This Row],[Load_Factor_%]]&gt;=85,"High")</f>
        <v>Intermediate</v>
      </c>
      <c r="M120" s="4">
        <v>433622</v>
      </c>
      <c r="N120" s="4">
        <v>76839</v>
      </c>
      <c r="O120" s="4">
        <f>SUM(Table1_1[[#This Row],[Ticket_Revenue_INR]:[Cargo_Revenue_INR]])</f>
        <v>510461</v>
      </c>
      <c r="P120" s="4">
        <v>628342</v>
      </c>
      <c r="Q120" s="4">
        <v>1034622</v>
      </c>
      <c r="R120" s="4">
        <f>SUM(Table1_1[[#This Row],[Fuel_Cost_INR]:[Operating_Cost_INR]])</f>
        <v>1662964</v>
      </c>
      <c r="S120" s="4">
        <f>Table1_1[[#This Row],[Total_Revenue]]-Table1_1[[#This Row],[Total_Cost]]</f>
        <v>-1152503</v>
      </c>
      <c r="T120" s="9">
        <f>(Table1_1[[#This Row],[Total_Profit]]/Table1_1[[#This Row],[Total_Revenue]])</f>
        <v>-2.2577689578635782</v>
      </c>
      <c r="U120" s="5">
        <v>31</v>
      </c>
      <c r="V120" s="6" t="s">
        <v>18</v>
      </c>
      <c r="W120" s="8">
        <v>4.7</v>
      </c>
      <c r="X120" t="str" cm="1">
        <f t="array" ref="X120">_xlfn.IFS(Table1_1[[#This Row],[Customer_Rating]]&lt;3,"Poor",Table1_1[[#This Row],[Customer_Rating]]&lt;4,"Good",Table1_1[[#This Row],[Customer_Rating]]&gt;=4,"Excellent")</f>
        <v>Excellent</v>
      </c>
    </row>
    <row r="121" spans="1:24" x14ac:dyDescent="0.35">
      <c r="A121" s="2" t="s">
        <v>248</v>
      </c>
      <c r="B121" s="3">
        <v>45841</v>
      </c>
      <c r="C121" s="3" t="str">
        <f>TEXT(Table1_1[[#This Row],[Date]],"YYYY")</f>
        <v>2025</v>
      </c>
      <c r="D121" s="3" t="str">
        <f>TEXT(Table1_1[[#This Row],[Date]],"mmm")</f>
        <v>Jul</v>
      </c>
      <c r="E121" s="2" t="s">
        <v>42</v>
      </c>
      <c r="F121" s="2" t="str">
        <f>INDEX(IndiGo_Flight_Data!$R$2:$R$11,MATCH(Table1_1[[#This Row],[Route]],_xlfn.ANCHORARRAY(IndiGo_Flight_Data!$Q$2),0))</f>
        <v>Bombay - Hyderabad</v>
      </c>
      <c r="G121" s="2" t="s">
        <v>24</v>
      </c>
      <c r="H121">
        <v>113</v>
      </c>
      <c r="I121">
        <v>180</v>
      </c>
      <c r="J121">
        <f>Table1_1[[#This Row],[Seat_Capacity]]-Table1_1[[#This Row],[Passengers]]</f>
        <v>67</v>
      </c>
      <c r="K121">
        <v>62.78</v>
      </c>
      <c r="L121" t="str" cm="1">
        <f t="array" ref="L121">_xlfn.IFS(Table1_1[[#This Row],[Load_Factor_%]]&lt;60,"Low",Table1_1[[#This Row],[Load_Factor_%]]&lt;85,"Intermediate",Table1_1[[#This Row],[Load_Factor_%]]&gt;=85,"High")</f>
        <v>Intermediate</v>
      </c>
      <c r="M121" s="4">
        <v>920713</v>
      </c>
      <c r="N121" s="4">
        <v>114207</v>
      </c>
      <c r="O121" s="4">
        <f>SUM(Table1_1[[#This Row],[Ticket_Revenue_INR]:[Cargo_Revenue_INR]])</f>
        <v>1034920</v>
      </c>
      <c r="P121" s="4">
        <v>1119554</v>
      </c>
      <c r="Q121" s="4">
        <v>1519966</v>
      </c>
      <c r="R121" s="4">
        <f>SUM(Table1_1[[#This Row],[Fuel_Cost_INR]:[Operating_Cost_INR]])</f>
        <v>2639520</v>
      </c>
      <c r="S121" s="4">
        <f>Table1_1[[#This Row],[Total_Revenue]]-Table1_1[[#This Row],[Total_Cost]]</f>
        <v>-1604600</v>
      </c>
      <c r="T121" s="9">
        <f>(Table1_1[[#This Row],[Total_Profit]]/Table1_1[[#This Row],[Total_Revenue]])</f>
        <v>-1.5504580064159548</v>
      </c>
      <c r="U121" s="5">
        <v>15</v>
      </c>
      <c r="V121" s="6" t="s">
        <v>33</v>
      </c>
      <c r="W121" s="8">
        <v>3.8</v>
      </c>
      <c r="X121" t="str" cm="1">
        <f t="array" ref="X121">_xlfn.IFS(Table1_1[[#This Row],[Customer_Rating]]&lt;3,"Poor",Table1_1[[#This Row],[Customer_Rating]]&lt;4,"Good",Table1_1[[#This Row],[Customer_Rating]]&gt;=4,"Excellent")</f>
        <v>Good</v>
      </c>
    </row>
    <row r="122" spans="1:24" x14ac:dyDescent="0.35">
      <c r="A122" s="2" t="s">
        <v>249</v>
      </c>
      <c r="B122" s="3">
        <v>45741</v>
      </c>
      <c r="C122" s="3" t="str">
        <f>TEXT(Table1_1[[#This Row],[Date]],"YYYY")</f>
        <v>2025</v>
      </c>
      <c r="D122" s="3" t="str">
        <f>TEXT(Table1_1[[#This Row],[Date]],"mmm")</f>
        <v>Mar</v>
      </c>
      <c r="E122" s="2" t="s">
        <v>29</v>
      </c>
      <c r="F122" s="2" t="str">
        <f>INDEX(IndiGo_Flight_Data!$R$2:$R$11,MATCH(Table1_1[[#This Row],[Route]],_xlfn.ANCHORARRAY(IndiGo_Flight_Data!$Q$2),0))</f>
        <v>Calacatta - Delhi</v>
      </c>
      <c r="G122" s="2" t="s">
        <v>43</v>
      </c>
      <c r="H122">
        <v>197</v>
      </c>
      <c r="I122">
        <v>232</v>
      </c>
      <c r="J122">
        <f>Table1_1[[#This Row],[Seat_Capacity]]-Table1_1[[#This Row],[Passengers]]</f>
        <v>35</v>
      </c>
      <c r="K122">
        <v>84.91</v>
      </c>
      <c r="L122" t="str" cm="1">
        <f t="array" ref="L122">_xlfn.IFS(Table1_1[[#This Row],[Load_Factor_%]]&lt;60,"Low",Table1_1[[#This Row],[Load_Factor_%]]&lt;85,"Intermediate",Table1_1[[#This Row],[Load_Factor_%]]&gt;=85,"High")</f>
        <v>Intermediate</v>
      </c>
      <c r="M122" s="4">
        <v>797902</v>
      </c>
      <c r="N122" s="4">
        <v>100687</v>
      </c>
      <c r="O122" s="4">
        <f>SUM(Table1_1[[#This Row],[Ticket_Revenue_INR]:[Cargo_Revenue_INR]])</f>
        <v>898589</v>
      </c>
      <c r="P122" s="4">
        <v>733369</v>
      </c>
      <c r="Q122" s="4">
        <v>834443</v>
      </c>
      <c r="R122" s="4">
        <f>SUM(Table1_1[[#This Row],[Fuel_Cost_INR]:[Operating_Cost_INR]])</f>
        <v>1567812</v>
      </c>
      <c r="S122" s="4">
        <f>Table1_1[[#This Row],[Total_Revenue]]-Table1_1[[#This Row],[Total_Cost]]</f>
        <v>-669223</v>
      </c>
      <c r="T122" s="9">
        <f>(Table1_1[[#This Row],[Total_Profit]]/Table1_1[[#This Row],[Total_Revenue]])</f>
        <v>-0.7447487115911724</v>
      </c>
      <c r="U122" s="5">
        <v>0</v>
      </c>
      <c r="V122" s="6" t="s">
        <v>33</v>
      </c>
      <c r="W122" s="8">
        <v>3.4</v>
      </c>
      <c r="X122" t="str" cm="1">
        <f t="array" ref="X122">_xlfn.IFS(Table1_1[[#This Row],[Customer_Rating]]&lt;3,"Poor",Table1_1[[#This Row],[Customer_Rating]]&lt;4,"Good",Table1_1[[#This Row],[Customer_Rating]]&gt;=4,"Excellent")</f>
        <v>Good</v>
      </c>
    </row>
    <row r="123" spans="1:24" x14ac:dyDescent="0.35">
      <c r="A123" s="2" t="s">
        <v>251</v>
      </c>
      <c r="B123" s="3">
        <v>46007</v>
      </c>
      <c r="C123" s="3" t="str">
        <f>TEXT(Table1_1[[#This Row],[Date]],"YYYY")</f>
        <v>2025</v>
      </c>
      <c r="D123" s="3" t="str">
        <f>TEXT(Table1_1[[#This Row],[Date]],"mmm")</f>
        <v>Dec</v>
      </c>
      <c r="E123" s="2" t="s">
        <v>36</v>
      </c>
      <c r="F123" s="2" t="str">
        <f>INDEX(IndiGo_Flight_Data!$R$2:$R$11,MATCH(Table1_1[[#This Row],[Route]],_xlfn.ANCHORARRAY(IndiGo_Flight_Data!$Q$2),0))</f>
        <v>Delhi - Bombay</v>
      </c>
      <c r="G123" s="2" t="s">
        <v>17</v>
      </c>
      <c r="H123">
        <v>57</v>
      </c>
      <c r="I123">
        <v>78</v>
      </c>
      <c r="J123">
        <f>Table1_1[[#This Row],[Seat_Capacity]]-Table1_1[[#This Row],[Passengers]]</f>
        <v>21</v>
      </c>
      <c r="K123">
        <v>73.08</v>
      </c>
      <c r="L123" t="str" cm="1">
        <f t="array" ref="L123">_xlfn.IFS(Table1_1[[#This Row],[Load_Factor_%]]&lt;60,"Low",Table1_1[[#This Row],[Load_Factor_%]]&lt;85,"Intermediate",Table1_1[[#This Row],[Load_Factor_%]]&gt;=85,"High")</f>
        <v>Intermediate</v>
      </c>
      <c r="M123" s="4">
        <v>465398</v>
      </c>
      <c r="N123" s="4">
        <v>50628</v>
      </c>
      <c r="O123" s="4">
        <f>SUM(Table1_1[[#This Row],[Ticket_Revenue_INR]:[Cargo_Revenue_INR]])</f>
        <v>516026</v>
      </c>
      <c r="P123" s="4">
        <v>961922</v>
      </c>
      <c r="Q123" s="4">
        <v>1100161</v>
      </c>
      <c r="R123" s="4">
        <f>SUM(Table1_1[[#This Row],[Fuel_Cost_INR]:[Operating_Cost_INR]])</f>
        <v>2062083</v>
      </c>
      <c r="S123" s="4">
        <f>Table1_1[[#This Row],[Total_Revenue]]-Table1_1[[#This Row],[Total_Cost]]</f>
        <v>-1546057</v>
      </c>
      <c r="T123" s="9">
        <f>(Table1_1[[#This Row],[Total_Profit]]/Table1_1[[#This Row],[Total_Revenue]])</f>
        <v>-2.9960835306748108</v>
      </c>
      <c r="U123" s="5">
        <v>52</v>
      </c>
      <c r="V123" s="6" t="s">
        <v>18</v>
      </c>
      <c r="W123" s="8">
        <v>3.3</v>
      </c>
      <c r="X123" t="str" cm="1">
        <f t="array" ref="X123">_xlfn.IFS(Table1_1[[#This Row],[Customer_Rating]]&lt;3,"Poor",Table1_1[[#This Row],[Customer_Rating]]&lt;4,"Good",Table1_1[[#This Row],[Customer_Rating]]&gt;=4,"Excellent")</f>
        <v>Good</v>
      </c>
    </row>
    <row r="124" spans="1:24" x14ac:dyDescent="0.35">
      <c r="A124" s="2" t="s">
        <v>253</v>
      </c>
      <c r="B124" s="3">
        <v>45790</v>
      </c>
      <c r="C124" s="3" t="str">
        <f>TEXT(Table1_1[[#This Row],[Date]],"YYYY")</f>
        <v>2025</v>
      </c>
      <c r="D124" s="3" t="str">
        <f>TEXT(Table1_1[[#This Row],[Date]],"mmm")</f>
        <v>May</v>
      </c>
      <c r="E124" s="2" t="s">
        <v>39</v>
      </c>
      <c r="F124" s="2" t="str">
        <f>INDEX(IndiGo_Flight_Data!$R$2:$R$11,MATCH(Table1_1[[#This Row],[Route]],_xlfn.ANCHORARRAY(IndiGo_Flight_Data!$Q$2),0))</f>
        <v>Bengaluru - Delhi</v>
      </c>
      <c r="G124" s="2" t="s">
        <v>17</v>
      </c>
      <c r="H124">
        <v>66</v>
      </c>
      <c r="I124">
        <v>78</v>
      </c>
      <c r="J124">
        <f>Table1_1[[#This Row],[Seat_Capacity]]-Table1_1[[#This Row],[Passengers]]</f>
        <v>12</v>
      </c>
      <c r="K124">
        <v>84.62</v>
      </c>
      <c r="L124" t="str" cm="1">
        <f t="array" ref="L124">_xlfn.IFS(Table1_1[[#This Row],[Load_Factor_%]]&lt;60,"Low",Table1_1[[#This Row],[Load_Factor_%]]&lt;85,"Intermediate",Table1_1[[#This Row],[Load_Factor_%]]&gt;=85,"High")</f>
        <v>Intermediate</v>
      </c>
      <c r="M124" s="4">
        <v>340947</v>
      </c>
      <c r="N124" s="4">
        <v>35944</v>
      </c>
      <c r="O124" s="4">
        <f>SUM(Table1_1[[#This Row],[Ticket_Revenue_INR]:[Cargo_Revenue_INR]])</f>
        <v>376891</v>
      </c>
      <c r="P124" s="4">
        <v>1106069</v>
      </c>
      <c r="Q124" s="4">
        <v>1556245</v>
      </c>
      <c r="R124" s="4">
        <f>SUM(Table1_1[[#This Row],[Fuel_Cost_INR]:[Operating_Cost_INR]])</f>
        <v>2662314</v>
      </c>
      <c r="S124" s="4">
        <f>Table1_1[[#This Row],[Total_Revenue]]-Table1_1[[#This Row],[Total_Cost]]</f>
        <v>-2285423</v>
      </c>
      <c r="T124" s="9">
        <f>(Table1_1[[#This Row],[Total_Profit]]/Table1_1[[#This Row],[Total_Revenue]])</f>
        <v>-6.0638831916920273</v>
      </c>
      <c r="U124" s="5">
        <v>66</v>
      </c>
      <c r="V124" s="6" t="s">
        <v>18</v>
      </c>
      <c r="W124" s="8">
        <v>3.3</v>
      </c>
      <c r="X124" t="str" cm="1">
        <f t="array" ref="X124">_xlfn.IFS(Table1_1[[#This Row],[Customer_Rating]]&lt;3,"Poor",Table1_1[[#This Row],[Customer_Rating]]&lt;4,"Good",Table1_1[[#This Row],[Customer_Rating]]&gt;=4,"Excellent")</f>
        <v>Good</v>
      </c>
    </row>
    <row r="125" spans="1:24" x14ac:dyDescent="0.35">
      <c r="A125" s="2" t="s">
        <v>255</v>
      </c>
      <c r="B125" s="3">
        <v>45878</v>
      </c>
      <c r="C125" s="3" t="str">
        <f>TEXT(Table1_1[[#This Row],[Date]],"YYYY")</f>
        <v>2025</v>
      </c>
      <c r="D125" s="3" t="str">
        <f>TEXT(Table1_1[[#This Row],[Date]],"mmm")</f>
        <v>Aug</v>
      </c>
      <c r="E125" s="2" t="s">
        <v>32</v>
      </c>
      <c r="F125" s="2" t="str">
        <f>INDEX(IndiGo_Flight_Data!$R$2:$R$11,MATCH(Table1_1[[#This Row],[Route]],_xlfn.ANCHORARRAY(IndiGo_Flight_Data!$Q$2),0))</f>
        <v>Bengaluru - Cochin</v>
      </c>
      <c r="G125" s="2" t="s">
        <v>43</v>
      </c>
      <c r="H125">
        <v>181</v>
      </c>
      <c r="I125">
        <v>232</v>
      </c>
      <c r="J125">
        <f>Table1_1[[#This Row],[Seat_Capacity]]-Table1_1[[#This Row],[Passengers]]</f>
        <v>51</v>
      </c>
      <c r="K125">
        <v>78.02</v>
      </c>
      <c r="L125" t="str" cm="1">
        <f t="array" ref="L125">_xlfn.IFS(Table1_1[[#This Row],[Load_Factor_%]]&lt;60,"Low",Table1_1[[#This Row],[Load_Factor_%]]&lt;85,"Intermediate",Table1_1[[#This Row],[Load_Factor_%]]&gt;=85,"High")</f>
        <v>Intermediate</v>
      </c>
      <c r="M125" s="4">
        <v>981664</v>
      </c>
      <c r="N125" s="4">
        <v>111235</v>
      </c>
      <c r="O125" s="4">
        <f>SUM(Table1_1[[#This Row],[Ticket_Revenue_INR]:[Cargo_Revenue_INR]])</f>
        <v>1092899</v>
      </c>
      <c r="P125" s="4">
        <v>1076127</v>
      </c>
      <c r="Q125" s="4">
        <v>1517982</v>
      </c>
      <c r="R125" s="4">
        <f>SUM(Table1_1[[#This Row],[Fuel_Cost_INR]:[Operating_Cost_INR]])</f>
        <v>2594109</v>
      </c>
      <c r="S125" s="4">
        <f>Table1_1[[#This Row],[Total_Revenue]]-Table1_1[[#This Row],[Total_Cost]]</f>
        <v>-1501210</v>
      </c>
      <c r="T125" s="9">
        <f>(Table1_1[[#This Row],[Total_Profit]]/Table1_1[[#This Row],[Total_Revenue]])</f>
        <v>-1.373603599234696</v>
      </c>
      <c r="U125" s="5">
        <v>2</v>
      </c>
      <c r="V125" s="6" t="s">
        <v>33</v>
      </c>
      <c r="W125" s="8">
        <v>4.8</v>
      </c>
      <c r="X125" t="str" cm="1">
        <f t="array" ref="X125">_xlfn.IFS(Table1_1[[#This Row],[Customer_Rating]]&lt;3,"Poor",Table1_1[[#This Row],[Customer_Rating]]&lt;4,"Good",Table1_1[[#This Row],[Customer_Rating]]&gt;=4,"Excellent")</f>
        <v>Excellent</v>
      </c>
    </row>
    <row r="126" spans="1:24" x14ac:dyDescent="0.35">
      <c r="A126" s="2" t="s">
        <v>256</v>
      </c>
      <c r="B126" s="3">
        <v>45722</v>
      </c>
      <c r="C126" s="3" t="str">
        <f>TEXT(Table1_1[[#This Row],[Date]],"YYYY")</f>
        <v>2025</v>
      </c>
      <c r="D126" s="3" t="str">
        <f>TEXT(Table1_1[[#This Row],[Date]],"mmm")</f>
        <v>Mar</v>
      </c>
      <c r="E126" s="2" t="s">
        <v>29</v>
      </c>
      <c r="F126" s="2" t="str">
        <f>INDEX(IndiGo_Flight_Data!$R$2:$R$11,MATCH(Table1_1[[#This Row],[Route]],_xlfn.ANCHORARRAY(IndiGo_Flight_Data!$Q$2),0))</f>
        <v>Calacatta - Delhi</v>
      </c>
      <c r="G126" s="2" t="s">
        <v>43</v>
      </c>
      <c r="H126">
        <v>175</v>
      </c>
      <c r="I126">
        <v>232</v>
      </c>
      <c r="J126">
        <f>Table1_1[[#This Row],[Seat_Capacity]]-Table1_1[[#This Row],[Passengers]]</f>
        <v>57</v>
      </c>
      <c r="K126">
        <v>75.430000000000007</v>
      </c>
      <c r="L126" t="str" cm="1">
        <f t="array" ref="L126">_xlfn.IFS(Table1_1[[#This Row],[Load_Factor_%]]&lt;60,"Low",Table1_1[[#This Row],[Load_Factor_%]]&lt;85,"Intermediate",Table1_1[[#This Row],[Load_Factor_%]]&gt;=85,"High")</f>
        <v>Intermediate</v>
      </c>
      <c r="M126" s="4">
        <v>1137071</v>
      </c>
      <c r="N126" s="4">
        <v>114000</v>
      </c>
      <c r="O126" s="4">
        <f>SUM(Table1_1[[#This Row],[Ticket_Revenue_INR]:[Cargo_Revenue_INR]])</f>
        <v>1251071</v>
      </c>
      <c r="P126" s="4">
        <v>518205</v>
      </c>
      <c r="Q126" s="4">
        <v>1030586</v>
      </c>
      <c r="R126" s="4">
        <f>SUM(Table1_1[[#This Row],[Fuel_Cost_INR]:[Operating_Cost_INR]])</f>
        <v>1548791</v>
      </c>
      <c r="S126" s="4">
        <f>Table1_1[[#This Row],[Total_Revenue]]-Table1_1[[#This Row],[Total_Cost]]</f>
        <v>-297720</v>
      </c>
      <c r="T126" s="9">
        <f>(Table1_1[[#This Row],[Total_Profit]]/Table1_1[[#This Row],[Total_Revenue]])</f>
        <v>-0.23797210550000758</v>
      </c>
      <c r="U126" s="5">
        <v>6</v>
      </c>
      <c r="V126" s="6" t="s">
        <v>33</v>
      </c>
      <c r="W126" s="8">
        <v>4.7</v>
      </c>
      <c r="X126" t="str" cm="1">
        <f t="array" ref="X126">_xlfn.IFS(Table1_1[[#This Row],[Customer_Rating]]&lt;3,"Poor",Table1_1[[#This Row],[Customer_Rating]]&lt;4,"Good",Table1_1[[#This Row],[Customer_Rating]]&gt;=4,"Excellent")</f>
        <v>Excellent</v>
      </c>
    </row>
    <row r="127" spans="1:24" x14ac:dyDescent="0.35">
      <c r="A127" s="2" t="s">
        <v>258</v>
      </c>
      <c r="B127" s="3">
        <v>45825</v>
      </c>
      <c r="C127" s="3" t="str">
        <f>TEXT(Table1_1[[#This Row],[Date]],"YYYY")</f>
        <v>2025</v>
      </c>
      <c r="D127" s="3" t="str">
        <f>TEXT(Table1_1[[#This Row],[Date]],"mmm")</f>
        <v>Jun</v>
      </c>
      <c r="E127" s="2" t="s">
        <v>32</v>
      </c>
      <c r="F127" s="2" t="str">
        <f>INDEX(IndiGo_Flight_Data!$R$2:$R$11,MATCH(Table1_1[[#This Row],[Route]],_xlfn.ANCHORARRAY(IndiGo_Flight_Data!$Q$2),0))</f>
        <v>Bengaluru - Cochin</v>
      </c>
      <c r="G127" s="2" t="s">
        <v>43</v>
      </c>
      <c r="H127">
        <v>162</v>
      </c>
      <c r="I127">
        <v>232</v>
      </c>
      <c r="J127">
        <f>Table1_1[[#This Row],[Seat_Capacity]]-Table1_1[[#This Row],[Passengers]]</f>
        <v>70</v>
      </c>
      <c r="K127">
        <v>69.83</v>
      </c>
      <c r="L127" t="str" cm="1">
        <f t="array" ref="L127">_xlfn.IFS(Table1_1[[#This Row],[Load_Factor_%]]&lt;60,"Low",Table1_1[[#This Row],[Load_Factor_%]]&lt;85,"Intermediate",Table1_1[[#This Row],[Load_Factor_%]]&gt;=85,"High")</f>
        <v>Intermediate</v>
      </c>
      <c r="M127" s="4">
        <v>1243246</v>
      </c>
      <c r="N127" s="4">
        <v>115022</v>
      </c>
      <c r="O127" s="4">
        <f>SUM(Table1_1[[#This Row],[Ticket_Revenue_INR]:[Cargo_Revenue_INR]])</f>
        <v>1358268</v>
      </c>
      <c r="P127" s="4">
        <v>990730</v>
      </c>
      <c r="Q127" s="4">
        <v>1650225</v>
      </c>
      <c r="R127" s="4">
        <f>SUM(Table1_1[[#This Row],[Fuel_Cost_INR]:[Operating_Cost_INR]])</f>
        <v>2640955</v>
      </c>
      <c r="S127" s="4">
        <f>Table1_1[[#This Row],[Total_Revenue]]-Table1_1[[#This Row],[Total_Cost]]</f>
        <v>-1282687</v>
      </c>
      <c r="T127" s="9">
        <f>(Table1_1[[#This Row],[Total_Profit]]/Table1_1[[#This Row],[Total_Revenue]])</f>
        <v>-0.94435486958391124</v>
      </c>
      <c r="U127" s="5">
        <v>11</v>
      </c>
      <c r="V127" s="6" t="s">
        <v>33</v>
      </c>
      <c r="W127" s="8">
        <v>4.2</v>
      </c>
      <c r="X127" t="str" cm="1">
        <f t="array" ref="X127">_xlfn.IFS(Table1_1[[#This Row],[Customer_Rating]]&lt;3,"Poor",Table1_1[[#This Row],[Customer_Rating]]&lt;4,"Good",Table1_1[[#This Row],[Customer_Rating]]&gt;=4,"Excellent")</f>
        <v>Excellent</v>
      </c>
    </row>
    <row r="128" spans="1:24" x14ac:dyDescent="0.35">
      <c r="A128" s="2" t="s">
        <v>260</v>
      </c>
      <c r="B128" s="3">
        <v>45742</v>
      </c>
      <c r="C128" s="3" t="str">
        <f>TEXT(Table1_1[[#This Row],[Date]],"YYYY")</f>
        <v>2025</v>
      </c>
      <c r="D128" s="3" t="str">
        <f>TEXT(Table1_1[[#This Row],[Date]],"mmm")</f>
        <v>Mar</v>
      </c>
      <c r="E128" s="2" t="s">
        <v>76</v>
      </c>
      <c r="F128" s="2" t="str">
        <f>INDEX(IndiGo_Flight_Data!$R$2:$R$11,MATCH(Table1_1[[#This Row],[Route]],_xlfn.ANCHORARRAY(IndiGo_Flight_Data!$Q$2),0))</f>
        <v>Madras - Delhi</v>
      </c>
      <c r="G128" s="2" t="s">
        <v>43</v>
      </c>
      <c r="H128">
        <v>206</v>
      </c>
      <c r="I128">
        <v>232</v>
      </c>
      <c r="J128">
        <f>Table1_1[[#This Row],[Seat_Capacity]]-Table1_1[[#This Row],[Passengers]]</f>
        <v>26</v>
      </c>
      <c r="K128">
        <v>88.79</v>
      </c>
      <c r="L128" t="str" cm="1">
        <f t="array" ref="L128">_xlfn.IFS(Table1_1[[#This Row],[Load_Factor_%]]&lt;60,"Low",Table1_1[[#This Row],[Load_Factor_%]]&lt;85,"Intermediate",Table1_1[[#This Row],[Load_Factor_%]]&gt;=85,"High")</f>
        <v>High</v>
      </c>
      <c r="M128" s="4">
        <v>1174054</v>
      </c>
      <c r="N128" s="4">
        <v>32208</v>
      </c>
      <c r="O128" s="4">
        <f>SUM(Table1_1[[#This Row],[Ticket_Revenue_INR]:[Cargo_Revenue_INR]])</f>
        <v>1206262</v>
      </c>
      <c r="P128" s="4">
        <v>729382</v>
      </c>
      <c r="Q128" s="4">
        <v>1310634</v>
      </c>
      <c r="R128" s="4">
        <f>SUM(Table1_1[[#This Row],[Fuel_Cost_INR]:[Operating_Cost_INR]])</f>
        <v>2040016</v>
      </c>
      <c r="S128" s="4">
        <f>Table1_1[[#This Row],[Total_Revenue]]-Table1_1[[#This Row],[Total_Cost]]</f>
        <v>-833754</v>
      </c>
      <c r="T128" s="9">
        <f>(Table1_1[[#This Row],[Total_Profit]]/Table1_1[[#This Row],[Total_Revenue]])</f>
        <v>-0.69118814983809485</v>
      </c>
      <c r="U128" s="5">
        <v>55</v>
      </c>
      <c r="V128" s="6" t="s">
        <v>18</v>
      </c>
      <c r="W128" s="8">
        <v>4.3</v>
      </c>
      <c r="X128" t="str" cm="1">
        <f t="array" ref="X128">_xlfn.IFS(Table1_1[[#This Row],[Customer_Rating]]&lt;3,"Poor",Table1_1[[#This Row],[Customer_Rating]]&lt;4,"Good",Table1_1[[#This Row],[Customer_Rating]]&gt;=4,"Excellent")</f>
        <v>Excellent</v>
      </c>
    </row>
    <row r="129" spans="1:24" x14ac:dyDescent="0.35">
      <c r="A129" s="2" t="s">
        <v>262</v>
      </c>
      <c r="B129" s="3">
        <v>45973</v>
      </c>
      <c r="C129" s="3" t="str">
        <f>TEXT(Table1_1[[#This Row],[Date]],"YYYY")</f>
        <v>2025</v>
      </c>
      <c r="D129" s="3" t="str">
        <f>TEXT(Table1_1[[#This Row],[Date]],"mmm")</f>
        <v>Nov</v>
      </c>
      <c r="E129" s="2" t="s">
        <v>32</v>
      </c>
      <c r="F129" s="2" t="str">
        <f>INDEX(IndiGo_Flight_Data!$R$2:$R$11,MATCH(Table1_1[[#This Row],[Route]],_xlfn.ANCHORARRAY(IndiGo_Flight_Data!$Q$2),0))</f>
        <v>Bengaluru - Cochin</v>
      </c>
      <c r="G129" s="2" t="s">
        <v>17</v>
      </c>
      <c r="H129">
        <v>76</v>
      </c>
      <c r="I129">
        <v>78</v>
      </c>
      <c r="J129">
        <f>Table1_1[[#This Row],[Seat_Capacity]]-Table1_1[[#This Row],[Passengers]]</f>
        <v>2</v>
      </c>
      <c r="K129">
        <v>97.44</v>
      </c>
      <c r="L129" t="str" cm="1">
        <f t="array" ref="L129">_xlfn.IFS(Table1_1[[#This Row],[Load_Factor_%]]&lt;60,"Low",Table1_1[[#This Row],[Load_Factor_%]]&lt;85,"Intermediate",Table1_1[[#This Row],[Load_Factor_%]]&gt;=85,"High")</f>
        <v>High</v>
      </c>
      <c r="M129" s="4">
        <v>408675</v>
      </c>
      <c r="N129" s="4">
        <v>63645</v>
      </c>
      <c r="O129" s="4">
        <f>SUM(Table1_1[[#This Row],[Ticket_Revenue_INR]:[Cargo_Revenue_INR]])</f>
        <v>472320</v>
      </c>
      <c r="P129" s="4">
        <v>859916</v>
      </c>
      <c r="Q129" s="4">
        <v>1520191</v>
      </c>
      <c r="R129" s="4">
        <f>SUM(Table1_1[[#This Row],[Fuel_Cost_INR]:[Operating_Cost_INR]])</f>
        <v>2380107</v>
      </c>
      <c r="S129" s="4">
        <f>Table1_1[[#This Row],[Total_Revenue]]-Table1_1[[#This Row],[Total_Cost]]</f>
        <v>-1907787</v>
      </c>
      <c r="T129" s="9">
        <f>(Table1_1[[#This Row],[Total_Profit]]/Table1_1[[#This Row],[Total_Revenue]])</f>
        <v>-4.0391831808943088</v>
      </c>
      <c r="U129" s="5">
        <v>79</v>
      </c>
      <c r="V129" s="6" t="s">
        <v>18</v>
      </c>
      <c r="W129" s="8">
        <v>4.4000000000000004</v>
      </c>
      <c r="X129" t="str" cm="1">
        <f t="array" ref="X129">_xlfn.IFS(Table1_1[[#This Row],[Customer_Rating]]&lt;3,"Poor",Table1_1[[#This Row],[Customer_Rating]]&lt;4,"Good",Table1_1[[#This Row],[Customer_Rating]]&gt;=4,"Excellent")</f>
        <v>Excellent</v>
      </c>
    </row>
    <row r="130" spans="1:24" x14ac:dyDescent="0.35">
      <c r="A130" s="2" t="s">
        <v>263</v>
      </c>
      <c r="B130" s="3">
        <v>45983</v>
      </c>
      <c r="C130" s="3" t="str">
        <f>TEXT(Table1_1[[#This Row],[Date]],"YYYY")</f>
        <v>2025</v>
      </c>
      <c r="D130" s="3" t="str">
        <f>TEXT(Table1_1[[#This Row],[Date]],"mmm")</f>
        <v>Nov</v>
      </c>
      <c r="E130" s="2" t="s">
        <v>76</v>
      </c>
      <c r="F130" s="2" t="str">
        <f>INDEX(IndiGo_Flight_Data!$R$2:$R$11,MATCH(Table1_1[[#This Row],[Route]],_xlfn.ANCHORARRAY(IndiGo_Flight_Data!$Q$2),0))</f>
        <v>Madras - Delhi</v>
      </c>
      <c r="G130" s="2" t="s">
        <v>17</v>
      </c>
      <c r="H130">
        <v>69</v>
      </c>
      <c r="I130">
        <v>78</v>
      </c>
      <c r="J130">
        <f>Table1_1[[#This Row],[Seat_Capacity]]-Table1_1[[#This Row],[Passengers]]</f>
        <v>9</v>
      </c>
      <c r="K130">
        <v>88.46</v>
      </c>
      <c r="L130" t="str" cm="1">
        <f t="array" ref="L130">_xlfn.IFS(Table1_1[[#This Row],[Load_Factor_%]]&lt;60,"Low",Table1_1[[#This Row],[Load_Factor_%]]&lt;85,"Intermediate",Table1_1[[#This Row],[Load_Factor_%]]&gt;=85,"High")</f>
        <v>High</v>
      </c>
      <c r="M130" s="4">
        <v>533211</v>
      </c>
      <c r="N130" s="4">
        <v>148324</v>
      </c>
      <c r="O130" s="4">
        <f>SUM(Table1_1[[#This Row],[Ticket_Revenue_INR]:[Cargo_Revenue_INR]])</f>
        <v>681535</v>
      </c>
      <c r="P130" s="4">
        <v>501230</v>
      </c>
      <c r="Q130" s="4">
        <v>1200206</v>
      </c>
      <c r="R130" s="4">
        <f>SUM(Table1_1[[#This Row],[Fuel_Cost_INR]:[Operating_Cost_INR]])</f>
        <v>1701436</v>
      </c>
      <c r="S130" s="4">
        <f>Table1_1[[#This Row],[Total_Revenue]]-Table1_1[[#This Row],[Total_Cost]]</f>
        <v>-1019901</v>
      </c>
      <c r="T130" s="9">
        <f>(Table1_1[[#This Row],[Total_Profit]]/Table1_1[[#This Row],[Total_Revenue]])</f>
        <v>-1.496476336505095</v>
      </c>
      <c r="U130" s="5">
        <v>43</v>
      </c>
      <c r="V130" s="6" t="s">
        <v>18</v>
      </c>
      <c r="W130" s="8">
        <v>4.5</v>
      </c>
      <c r="X130" t="str" cm="1">
        <f t="array" ref="X130">_xlfn.IFS(Table1_1[[#This Row],[Customer_Rating]]&lt;3,"Poor",Table1_1[[#This Row],[Customer_Rating]]&lt;4,"Good",Table1_1[[#This Row],[Customer_Rating]]&gt;=4,"Excellent")</f>
        <v>Excellent</v>
      </c>
    </row>
    <row r="131" spans="1:24" x14ac:dyDescent="0.35">
      <c r="A131" s="2" t="s">
        <v>264</v>
      </c>
      <c r="B131" s="3">
        <v>45820</v>
      </c>
      <c r="C131" s="3" t="str">
        <f>TEXT(Table1_1[[#This Row],[Date]],"YYYY")</f>
        <v>2025</v>
      </c>
      <c r="D131" s="3" t="str">
        <f>TEXT(Table1_1[[#This Row],[Date]],"mmm")</f>
        <v>Jun</v>
      </c>
      <c r="E131" s="2" t="s">
        <v>36</v>
      </c>
      <c r="F131" s="2" t="str">
        <f>INDEX(IndiGo_Flight_Data!$R$2:$R$11,MATCH(Table1_1[[#This Row],[Route]],_xlfn.ANCHORARRAY(IndiGo_Flight_Data!$Q$2),0))</f>
        <v>Delhi - Bombay</v>
      </c>
      <c r="G131" s="2" t="s">
        <v>43</v>
      </c>
      <c r="H131">
        <v>148</v>
      </c>
      <c r="I131">
        <v>232</v>
      </c>
      <c r="J131">
        <f>Table1_1[[#This Row],[Seat_Capacity]]-Table1_1[[#This Row],[Passengers]]</f>
        <v>84</v>
      </c>
      <c r="K131">
        <v>63.79</v>
      </c>
      <c r="L131" t="str" cm="1">
        <f t="array" ref="L131">_xlfn.IFS(Table1_1[[#This Row],[Load_Factor_%]]&lt;60,"Low",Table1_1[[#This Row],[Load_Factor_%]]&lt;85,"Intermediate",Table1_1[[#This Row],[Load_Factor_%]]&gt;=85,"High")</f>
        <v>Intermediate</v>
      </c>
      <c r="M131" s="4">
        <v>1295843</v>
      </c>
      <c r="N131" s="4">
        <v>142979</v>
      </c>
      <c r="O131" s="4">
        <f>SUM(Table1_1[[#This Row],[Ticket_Revenue_INR]:[Cargo_Revenue_INR]])</f>
        <v>1438822</v>
      </c>
      <c r="P131" s="4">
        <v>807134</v>
      </c>
      <c r="Q131" s="4">
        <v>913132</v>
      </c>
      <c r="R131" s="4">
        <f>SUM(Table1_1[[#This Row],[Fuel_Cost_INR]:[Operating_Cost_INR]])</f>
        <v>1720266</v>
      </c>
      <c r="S131" s="4">
        <f>Table1_1[[#This Row],[Total_Revenue]]-Table1_1[[#This Row],[Total_Cost]]</f>
        <v>-281444</v>
      </c>
      <c r="T131" s="9">
        <f>(Table1_1[[#This Row],[Total_Profit]]/Table1_1[[#This Row],[Total_Revenue]])</f>
        <v>-0.19560723981145686</v>
      </c>
      <c r="U131" s="5">
        <v>80</v>
      </c>
      <c r="V131" s="6" t="s">
        <v>18</v>
      </c>
      <c r="W131" s="8">
        <v>4.3</v>
      </c>
      <c r="X131" t="str" cm="1">
        <f t="array" ref="X131">_xlfn.IFS(Table1_1[[#This Row],[Customer_Rating]]&lt;3,"Poor",Table1_1[[#This Row],[Customer_Rating]]&lt;4,"Good",Table1_1[[#This Row],[Customer_Rating]]&gt;=4,"Excellent")</f>
        <v>Excellent</v>
      </c>
    </row>
    <row r="132" spans="1:24" x14ac:dyDescent="0.35">
      <c r="A132" s="2" t="s">
        <v>265</v>
      </c>
      <c r="B132" s="3">
        <v>45786</v>
      </c>
      <c r="C132" s="3" t="str">
        <f>TEXT(Table1_1[[#This Row],[Date]],"YYYY")</f>
        <v>2025</v>
      </c>
      <c r="D132" s="3" t="str">
        <f>TEXT(Table1_1[[#This Row],[Date]],"mmm")</f>
        <v>May</v>
      </c>
      <c r="E132" s="2" t="s">
        <v>42</v>
      </c>
      <c r="F132" s="2" t="str">
        <f>INDEX(IndiGo_Flight_Data!$R$2:$R$11,MATCH(Table1_1[[#This Row],[Route]],_xlfn.ANCHORARRAY(IndiGo_Flight_Data!$Q$2),0))</f>
        <v>Bombay - Hyderabad</v>
      </c>
      <c r="G132" s="2" t="s">
        <v>17</v>
      </c>
      <c r="H132">
        <v>56</v>
      </c>
      <c r="I132">
        <v>78</v>
      </c>
      <c r="J132">
        <f>Table1_1[[#This Row],[Seat_Capacity]]-Table1_1[[#This Row],[Passengers]]</f>
        <v>22</v>
      </c>
      <c r="K132">
        <v>71.790000000000006</v>
      </c>
      <c r="L132" t="str" cm="1">
        <f t="array" ref="L132">_xlfn.IFS(Table1_1[[#This Row],[Load_Factor_%]]&lt;60,"Low",Table1_1[[#This Row],[Load_Factor_%]]&lt;85,"Intermediate",Table1_1[[#This Row],[Load_Factor_%]]&gt;=85,"High")</f>
        <v>Intermediate</v>
      </c>
      <c r="M132" s="4">
        <v>482685</v>
      </c>
      <c r="N132" s="4">
        <v>144723</v>
      </c>
      <c r="O132" s="4">
        <f>SUM(Table1_1[[#This Row],[Ticket_Revenue_INR]:[Cargo_Revenue_INR]])</f>
        <v>627408</v>
      </c>
      <c r="P132" s="4">
        <v>728353</v>
      </c>
      <c r="Q132" s="4">
        <v>920177</v>
      </c>
      <c r="R132" s="4">
        <f>SUM(Table1_1[[#This Row],[Fuel_Cost_INR]:[Operating_Cost_INR]])</f>
        <v>1648530</v>
      </c>
      <c r="S132" s="4">
        <f>Table1_1[[#This Row],[Total_Revenue]]-Table1_1[[#This Row],[Total_Cost]]</f>
        <v>-1021122</v>
      </c>
      <c r="T132" s="9">
        <f>(Table1_1[[#This Row],[Total_Profit]]/Table1_1[[#This Row],[Total_Revenue]])</f>
        <v>-1.6275246729400965</v>
      </c>
      <c r="U132" s="5">
        <v>51</v>
      </c>
      <c r="V132" s="6" t="s">
        <v>18</v>
      </c>
      <c r="W132" s="8">
        <v>4.0999999999999996</v>
      </c>
      <c r="X132" t="str" cm="1">
        <f t="array" ref="X132">_xlfn.IFS(Table1_1[[#This Row],[Customer_Rating]]&lt;3,"Poor",Table1_1[[#This Row],[Customer_Rating]]&lt;4,"Good",Table1_1[[#This Row],[Customer_Rating]]&gt;=4,"Excellent")</f>
        <v>Excellent</v>
      </c>
    </row>
    <row r="133" spans="1:24" x14ac:dyDescent="0.35">
      <c r="A133" s="2" t="s">
        <v>267</v>
      </c>
      <c r="B133" s="3">
        <v>45967</v>
      </c>
      <c r="C133" s="3" t="str">
        <f>TEXT(Table1_1[[#This Row],[Date]],"YYYY")</f>
        <v>2025</v>
      </c>
      <c r="D133" s="3" t="str">
        <f>TEXT(Table1_1[[#This Row],[Date]],"mmm")</f>
        <v>Nov</v>
      </c>
      <c r="E133" s="2" t="s">
        <v>117</v>
      </c>
      <c r="F133" s="2" t="str">
        <f>INDEX(IndiGo_Flight_Data!$R$2:$R$11,MATCH(Table1_1[[#This Row],[Route]],_xlfn.ANCHORARRAY(IndiGo_Flight_Data!$Q$2),0))</f>
        <v>Bengaluru - Calacatta</v>
      </c>
      <c r="G133" s="2" t="s">
        <v>17</v>
      </c>
      <c r="H133">
        <v>53</v>
      </c>
      <c r="I133">
        <v>78</v>
      </c>
      <c r="J133">
        <f>Table1_1[[#This Row],[Seat_Capacity]]-Table1_1[[#This Row],[Passengers]]</f>
        <v>25</v>
      </c>
      <c r="K133">
        <v>67.95</v>
      </c>
      <c r="L133" t="str" cm="1">
        <f t="array" ref="L133">_xlfn.IFS(Table1_1[[#This Row],[Load_Factor_%]]&lt;60,"Low",Table1_1[[#This Row],[Load_Factor_%]]&lt;85,"Intermediate",Table1_1[[#This Row],[Load_Factor_%]]&gt;=85,"High")</f>
        <v>Intermediate</v>
      </c>
      <c r="M133" s="4">
        <v>451813</v>
      </c>
      <c r="N133" s="4">
        <v>33681</v>
      </c>
      <c r="O133" s="4">
        <f>SUM(Table1_1[[#This Row],[Ticket_Revenue_INR]:[Cargo_Revenue_INR]])</f>
        <v>485494</v>
      </c>
      <c r="P133" s="4">
        <v>589213</v>
      </c>
      <c r="Q133" s="4">
        <v>929457</v>
      </c>
      <c r="R133" s="4">
        <f>SUM(Table1_1[[#This Row],[Fuel_Cost_INR]:[Operating_Cost_INR]])</f>
        <v>1518670</v>
      </c>
      <c r="S133" s="4">
        <f>Table1_1[[#This Row],[Total_Revenue]]-Table1_1[[#This Row],[Total_Cost]]</f>
        <v>-1033176</v>
      </c>
      <c r="T133" s="9">
        <f>(Table1_1[[#This Row],[Total_Profit]]/Table1_1[[#This Row],[Total_Revenue]])</f>
        <v>-2.1280922112322704</v>
      </c>
      <c r="U133" s="5">
        <v>3</v>
      </c>
      <c r="V133" s="6" t="s">
        <v>33</v>
      </c>
      <c r="W133" s="8">
        <v>3.8</v>
      </c>
      <c r="X133" t="str" cm="1">
        <f t="array" ref="X133">_xlfn.IFS(Table1_1[[#This Row],[Customer_Rating]]&lt;3,"Poor",Table1_1[[#This Row],[Customer_Rating]]&lt;4,"Good",Table1_1[[#This Row],[Customer_Rating]]&gt;=4,"Excellent")</f>
        <v>Good</v>
      </c>
    </row>
    <row r="134" spans="1:24" x14ac:dyDescent="0.35">
      <c r="A134" s="2" t="s">
        <v>269</v>
      </c>
      <c r="B134" s="3">
        <v>45685</v>
      </c>
      <c r="C134" s="3" t="str">
        <f>TEXT(Table1_1[[#This Row],[Date]],"YYYY")</f>
        <v>2025</v>
      </c>
      <c r="D134" s="3" t="str">
        <f>TEXT(Table1_1[[#This Row],[Date]],"mmm")</f>
        <v>Jan</v>
      </c>
      <c r="E134" s="2" t="s">
        <v>21</v>
      </c>
      <c r="F134" s="2" t="str">
        <f>INDEX(IndiGo_Flight_Data!$R$2:$R$11,MATCH(Table1_1[[#This Row],[Route]],_xlfn.ANCHORARRAY(IndiGo_Flight_Data!$Q$2),0))</f>
        <v>Bengaluru - Hyderabad</v>
      </c>
      <c r="G134" s="2" t="s">
        <v>17</v>
      </c>
      <c r="H134">
        <v>57</v>
      </c>
      <c r="I134">
        <v>78</v>
      </c>
      <c r="J134">
        <f>Table1_1[[#This Row],[Seat_Capacity]]-Table1_1[[#This Row],[Passengers]]</f>
        <v>21</v>
      </c>
      <c r="K134">
        <v>73.08</v>
      </c>
      <c r="L134" t="str" cm="1">
        <f t="array" ref="L134">_xlfn.IFS(Table1_1[[#This Row],[Load_Factor_%]]&lt;60,"Low",Table1_1[[#This Row],[Load_Factor_%]]&lt;85,"Intermediate",Table1_1[[#This Row],[Load_Factor_%]]&gt;=85,"High")</f>
        <v>Intermediate</v>
      </c>
      <c r="M134" s="4">
        <v>377432</v>
      </c>
      <c r="N134" s="4">
        <v>17692</v>
      </c>
      <c r="O134" s="4">
        <f>SUM(Table1_1[[#This Row],[Ticket_Revenue_INR]:[Cargo_Revenue_INR]])</f>
        <v>395124</v>
      </c>
      <c r="P134" s="4">
        <v>1044485</v>
      </c>
      <c r="Q134" s="4">
        <v>1251579</v>
      </c>
      <c r="R134" s="4">
        <f>SUM(Table1_1[[#This Row],[Fuel_Cost_INR]:[Operating_Cost_INR]])</f>
        <v>2296064</v>
      </c>
      <c r="S134" s="4">
        <f>Table1_1[[#This Row],[Total_Revenue]]-Table1_1[[#This Row],[Total_Cost]]</f>
        <v>-1900940</v>
      </c>
      <c r="T134" s="9">
        <f>(Table1_1[[#This Row],[Total_Profit]]/Table1_1[[#This Row],[Total_Revenue]])</f>
        <v>-4.8109960417489193</v>
      </c>
      <c r="U134" s="5">
        <v>56</v>
      </c>
      <c r="V134" s="6" t="s">
        <v>18</v>
      </c>
      <c r="W134" s="8">
        <v>4.4000000000000004</v>
      </c>
      <c r="X134" t="str" cm="1">
        <f t="array" ref="X134">_xlfn.IFS(Table1_1[[#This Row],[Customer_Rating]]&lt;3,"Poor",Table1_1[[#This Row],[Customer_Rating]]&lt;4,"Good",Table1_1[[#This Row],[Customer_Rating]]&gt;=4,"Excellent")</f>
        <v>Excellent</v>
      </c>
    </row>
    <row r="135" spans="1:24" x14ac:dyDescent="0.35">
      <c r="A135" s="2" t="s">
        <v>271</v>
      </c>
      <c r="B135" s="3">
        <v>45928</v>
      </c>
      <c r="C135" s="3" t="str">
        <f>TEXT(Table1_1[[#This Row],[Date]],"YYYY")</f>
        <v>2025</v>
      </c>
      <c r="D135" s="3" t="str">
        <f>TEXT(Table1_1[[#This Row],[Date]],"mmm")</f>
        <v>Sep</v>
      </c>
      <c r="E135" s="2" t="s">
        <v>59</v>
      </c>
      <c r="F135" s="2" t="str">
        <f>INDEX(IndiGo_Flight_Data!$R$2:$R$11,MATCH(Table1_1[[#This Row],[Route]],_xlfn.ANCHORARRAY(IndiGo_Flight_Data!$Q$2),0))</f>
        <v>Bengaluru - Bombay</v>
      </c>
      <c r="G135" s="2" t="s">
        <v>17</v>
      </c>
      <c r="H135">
        <v>54</v>
      </c>
      <c r="I135">
        <v>78</v>
      </c>
      <c r="J135">
        <f>Table1_1[[#This Row],[Seat_Capacity]]-Table1_1[[#This Row],[Passengers]]</f>
        <v>24</v>
      </c>
      <c r="K135">
        <v>69.23</v>
      </c>
      <c r="L135" t="str" cm="1">
        <f t="array" ref="L135">_xlfn.IFS(Table1_1[[#This Row],[Load_Factor_%]]&lt;60,"Low",Table1_1[[#This Row],[Load_Factor_%]]&lt;85,"Intermediate",Table1_1[[#This Row],[Load_Factor_%]]&gt;=85,"High")</f>
        <v>Intermediate</v>
      </c>
      <c r="M135" s="4">
        <v>411058</v>
      </c>
      <c r="N135" s="4">
        <v>15751</v>
      </c>
      <c r="O135" s="4">
        <f>SUM(Table1_1[[#This Row],[Ticket_Revenue_INR]:[Cargo_Revenue_INR]])</f>
        <v>426809</v>
      </c>
      <c r="P135" s="4">
        <v>408009</v>
      </c>
      <c r="Q135" s="4">
        <v>788797</v>
      </c>
      <c r="R135" s="4">
        <f>SUM(Table1_1[[#This Row],[Fuel_Cost_INR]:[Operating_Cost_INR]])</f>
        <v>1196806</v>
      </c>
      <c r="S135" s="4">
        <f>Table1_1[[#This Row],[Total_Revenue]]-Table1_1[[#This Row],[Total_Cost]]</f>
        <v>-769997</v>
      </c>
      <c r="T135" s="9">
        <f>(Table1_1[[#This Row],[Total_Profit]]/Table1_1[[#This Row],[Total_Revenue]])</f>
        <v>-1.8040786393913906</v>
      </c>
      <c r="U135" s="5">
        <v>19</v>
      </c>
      <c r="V135" s="6" t="s">
        <v>18</v>
      </c>
      <c r="W135" s="8">
        <v>4</v>
      </c>
      <c r="X135" t="str" cm="1">
        <f t="array" ref="X135">_xlfn.IFS(Table1_1[[#This Row],[Customer_Rating]]&lt;3,"Poor",Table1_1[[#This Row],[Customer_Rating]]&lt;4,"Good",Table1_1[[#This Row],[Customer_Rating]]&gt;=4,"Excellent")</f>
        <v>Excellent</v>
      </c>
    </row>
    <row r="136" spans="1:24" x14ac:dyDescent="0.35">
      <c r="A136" s="2" t="s">
        <v>273</v>
      </c>
      <c r="B136" s="3">
        <v>45745</v>
      </c>
      <c r="C136" s="3" t="str">
        <f>TEXT(Table1_1[[#This Row],[Date]],"YYYY")</f>
        <v>2025</v>
      </c>
      <c r="D136" s="3" t="str">
        <f>TEXT(Table1_1[[#This Row],[Date]],"mmm")</f>
        <v>Mar</v>
      </c>
      <c r="E136" s="2" t="s">
        <v>42</v>
      </c>
      <c r="F136" s="2" t="str">
        <f>INDEX(IndiGo_Flight_Data!$R$2:$R$11,MATCH(Table1_1[[#This Row],[Route]],_xlfn.ANCHORARRAY(IndiGo_Flight_Data!$Q$2),0))</f>
        <v>Bombay - Hyderabad</v>
      </c>
      <c r="G136" s="2" t="s">
        <v>24</v>
      </c>
      <c r="H136">
        <v>127</v>
      </c>
      <c r="I136">
        <v>180</v>
      </c>
      <c r="J136">
        <f>Table1_1[[#This Row],[Seat_Capacity]]-Table1_1[[#This Row],[Passengers]]</f>
        <v>53</v>
      </c>
      <c r="K136">
        <v>70.56</v>
      </c>
      <c r="L136" t="str" cm="1">
        <f t="array" ref="L136">_xlfn.IFS(Table1_1[[#This Row],[Load_Factor_%]]&lt;60,"Low",Table1_1[[#This Row],[Load_Factor_%]]&lt;85,"Intermediate",Table1_1[[#This Row],[Load_Factor_%]]&gt;=85,"High")</f>
        <v>Intermediate</v>
      </c>
      <c r="M136" s="4">
        <v>880000</v>
      </c>
      <c r="N136" s="4">
        <v>82943</v>
      </c>
      <c r="O136" s="4">
        <f>SUM(Table1_1[[#This Row],[Ticket_Revenue_INR]:[Cargo_Revenue_INR]])</f>
        <v>962943</v>
      </c>
      <c r="P136" s="4">
        <v>862387</v>
      </c>
      <c r="Q136" s="4">
        <v>1529972</v>
      </c>
      <c r="R136" s="4">
        <f>SUM(Table1_1[[#This Row],[Fuel_Cost_INR]:[Operating_Cost_INR]])</f>
        <v>2392359</v>
      </c>
      <c r="S136" s="4">
        <f>Table1_1[[#This Row],[Total_Revenue]]-Table1_1[[#This Row],[Total_Cost]]</f>
        <v>-1429416</v>
      </c>
      <c r="T136" s="9">
        <f>(Table1_1[[#This Row],[Total_Profit]]/Table1_1[[#This Row],[Total_Revenue]])</f>
        <v>-1.4844243117193852</v>
      </c>
      <c r="U136" s="5">
        <v>36</v>
      </c>
      <c r="V136" s="6" t="s">
        <v>18</v>
      </c>
      <c r="W136" s="8">
        <v>3.5</v>
      </c>
      <c r="X136" t="str" cm="1">
        <f t="array" ref="X136">_xlfn.IFS(Table1_1[[#This Row],[Customer_Rating]]&lt;3,"Poor",Table1_1[[#This Row],[Customer_Rating]]&lt;4,"Good",Table1_1[[#This Row],[Customer_Rating]]&gt;=4,"Excellent")</f>
        <v>Good</v>
      </c>
    </row>
    <row r="137" spans="1:24" x14ac:dyDescent="0.35">
      <c r="A137" s="2" t="s">
        <v>275</v>
      </c>
      <c r="B137" s="3">
        <v>45680</v>
      </c>
      <c r="C137" s="3" t="str">
        <f>TEXT(Table1_1[[#This Row],[Date]],"YYYY")</f>
        <v>2025</v>
      </c>
      <c r="D137" s="3" t="str">
        <f>TEXT(Table1_1[[#This Row],[Date]],"mmm")</f>
        <v>Jan</v>
      </c>
      <c r="E137" s="2" t="s">
        <v>76</v>
      </c>
      <c r="F137" s="2" t="str">
        <f>INDEX(IndiGo_Flight_Data!$R$2:$R$11,MATCH(Table1_1[[#This Row],[Route]],_xlfn.ANCHORARRAY(IndiGo_Flight_Data!$Q$2),0))</f>
        <v>Madras - Delhi</v>
      </c>
      <c r="G137" s="2" t="s">
        <v>17</v>
      </c>
      <c r="H137">
        <v>50</v>
      </c>
      <c r="I137">
        <v>78</v>
      </c>
      <c r="J137">
        <f>Table1_1[[#This Row],[Seat_Capacity]]-Table1_1[[#This Row],[Passengers]]</f>
        <v>28</v>
      </c>
      <c r="K137">
        <v>64.099999999999994</v>
      </c>
      <c r="L137" t="str" cm="1">
        <f t="array" ref="L137">_xlfn.IFS(Table1_1[[#This Row],[Load_Factor_%]]&lt;60,"Low",Table1_1[[#This Row],[Load_Factor_%]]&lt;85,"Intermediate",Table1_1[[#This Row],[Load_Factor_%]]&gt;=85,"High")</f>
        <v>Intermediate</v>
      </c>
      <c r="M137" s="4">
        <v>217724</v>
      </c>
      <c r="N137" s="4">
        <v>22280</v>
      </c>
      <c r="O137" s="4">
        <f>SUM(Table1_1[[#This Row],[Ticket_Revenue_INR]:[Cargo_Revenue_INR]])</f>
        <v>240004</v>
      </c>
      <c r="P137" s="4">
        <v>846026</v>
      </c>
      <c r="Q137" s="4">
        <v>1470388</v>
      </c>
      <c r="R137" s="4">
        <f>SUM(Table1_1[[#This Row],[Fuel_Cost_INR]:[Operating_Cost_INR]])</f>
        <v>2316414</v>
      </c>
      <c r="S137" s="4">
        <f>Table1_1[[#This Row],[Total_Revenue]]-Table1_1[[#This Row],[Total_Cost]]</f>
        <v>-2076410</v>
      </c>
      <c r="T137" s="9">
        <f>(Table1_1[[#This Row],[Total_Profit]]/Table1_1[[#This Row],[Total_Revenue]])</f>
        <v>-8.6515641405976567</v>
      </c>
      <c r="U137" s="5">
        <v>62</v>
      </c>
      <c r="V137" s="6" t="s">
        <v>18</v>
      </c>
      <c r="W137" s="8">
        <v>4.7</v>
      </c>
      <c r="X137" t="str" cm="1">
        <f t="array" ref="X137">_xlfn.IFS(Table1_1[[#This Row],[Customer_Rating]]&lt;3,"Poor",Table1_1[[#This Row],[Customer_Rating]]&lt;4,"Good",Table1_1[[#This Row],[Customer_Rating]]&gt;=4,"Excellent")</f>
        <v>Excellent</v>
      </c>
    </row>
    <row r="138" spans="1:24" x14ac:dyDescent="0.35">
      <c r="A138" s="2" t="s">
        <v>277</v>
      </c>
      <c r="B138" s="3">
        <v>45851</v>
      </c>
      <c r="C138" s="3" t="str">
        <f>TEXT(Table1_1[[#This Row],[Date]],"YYYY")</f>
        <v>2025</v>
      </c>
      <c r="D138" s="3" t="str">
        <f>TEXT(Table1_1[[#This Row],[Date]],"mmm")</f>
        <v>Jul</v>
      </c>
      <c r="E138" s="2" t="s">
        <v>59</v>
      </c>
      <c r="F138" s="2" t="str">
        <f>INDEX(IndiGo_Flight_Data!$R$2:$R$11,MATCH(Table1_1[[#This Row],[Route]],_xlfn.ANCHORARRAY(IndiGo_Flight_Data!$Q$2),0))</f>
        <v>Bengaluru - Bombay</v>
      </c>
      <c r="G138" s="2" t="s">
        <v>24</v>
      </c>
      <c r="H138">
        <v>142</v>
      </c>
      <c r="I138">
        <v>180</v>
      </c>
      <c r="J138">
        <f>Table1_1[[#This Row],[Seat_Capacity]]-Table1_1[[#This Row],[Passengers]]</f>
        <v>38</v>
      </c>
      <c r="K138">
        <v>78.89</v>
      </c>
      <c r="L138" t="str" cm="1">
        <f t="array" ref="L138">_xlfn.IFS(Table1_1[[#This Row],[Load_Factor_%]]&lt;60,"Low",Table1_1[[#This Row],[Load_Factor_%]]&lt;85,"Intermediate",Table1_1[[#This Row],[Load_Factor_%]]&gt;=85,"High")</f>
        <v>Intermediate</v>
      </c>
      <c r="M138" s="4">
        <v>936188</v>
      </c>
      <c r="N138" s="4">
        <v>79556</v>
      </c>
      <c r="O138" s="4">
        <f>SUM(Table1_1[[#This Row],[Ticket_Revenue_INR]:[Cargo_Revenue_INR]])</f>
        <v>1015744</v>
      </c>
      <c r="P138" s="4">
        <v>702324</v>
      </c>
      <c r="Q138" s="4">
        <v>1110133</v>
      </c>
      <c r="R138" s="4">
        <f>SUM(Table1_1[[#This Row],[Fuel_Cost_INR]:[Operating_Cost_INR]])</f>
        <v>1812457</v>
      </c>
      <c r="S138" s="4">
        <f>Table1_1[[#This Row],[Total_Revenue]]-Table1_1[[#This Row],[Total_Cost]]</f>
        <v>-796713</v>
      </c>
      <c r="T138" s="9">
        <f>(Table1_1[[#This Row],[Total_Profit]]/Table1_1[[#This Row],[Total_Revenue]])</f>
        <v>-0.78436397359964716</v>
      </c>
      <c r="U138" s="5">
        <v>64</v>
      </c>
      <c r="V138" s="6" t="s">
        <v>18</v>
      </c>
      <c r="W138" s="8">
        <v>3.9</v>
      </c>
      <c r="X138" t="str" cm="1">
        <f t="array" ref="X138">_xlfn.IFS(Table1_1[[#This Row],[Customer_Rating]]&lt;3,"Poor",Table1_1[[#This Row],[Customer_Rating]]&lt;4,"Good",Table1_1[[#This Row],[Customer_Rating]]&gt;=4,"Excellent")</f>
        <v>Good</v>
      </c>
    </row>
    <row r="139" spans="1:24" x14ac:dyDescent="0.35">
      <c r="A139" s="2" t="s">
        <v>279</v>
      </c>
      <c r="B139" s="3">
        <v>45671</v>
      </c>
      <c r="C139" s="3" t="str">
        <f>TEXT(Table1_1[[#This Row],[Date]],"YYYY")</f>
        <v>2025</v>
      </c>
      <c r="D139" s="3" t="str">
        <f>TEXT(Table1_1[[#This Row],[Date]],"mmm")</f>
        <v>Jan</v>
      </c>
      <c r="E139" s="2" t="s">
        <v>59</v>
      </c>
      <c r="F139" s="2" t="str">
        <f>INDEX(IndiGo_Flight_Data!$R$2:$R$11,MATCH(Table1_1[[#This Row],[Route]],_xlfn.ANCHORARRAY(IndiGo_Flight_Data!$Q$2),0))</f>
        <v>Bengaluru - Bombay</v>
      </c>
      <c r="G139" s="2" t="s">
        <v>24</v>
      </c>
      <c r="H139">
        <v>141</v>
      </c>
      <c r="I139">
        <v>180</v>
      </c>
      <c r="J139">
        <f>Table1_1[[#This Row],[Seat_Capacity]]-Table1_1[[#This Row],[Passengers]]</f>
        <v>39</v>
      </c>
      <c r="K139">
        <v>78.33</v>
      </c>
      <c r="L139" t="str" cm="1">
        <f t="array" ref="L139">_xlfn.IFS(Table1_1[[#This Row],[Load_Factor_%]]&lt;60,"Low",Table1_1[[#This Row],[Load_Factor_%]]&lt;85,"Intermediate",Table1_1[[#This Row],[Load_Factor_%]]&gt;=85,"High")</f>
        <v>Intermediate</v>
      </c>
      <c r="M139" s="4">
        <v>536586</v>
      </c>
      <c r="N139" s="4">
        <v>41643</v>
      </c>
      <c r="O139" s="4">
        <f>SUM(Table1_1[[#This Row],[Ticket_Revenue_INR]:[Cargo_Revenue_INR]])</f>
        <v>578229</v>
      </c>
      <c r="P139" s="4">
        <v>364031</v>
      </c>
      <c r="Q139" s="4">
        <v>487583</v>
      </c>
      <c r="R139" s="4">
        <f>SUM(Table1_1[[#This Row],[Fuel_Cost_INR]:[Operating_Cost_INR]])</f>
        <v>851614</v>
      </c>
      <c r="S139" s="4">
        <f>Table1_1[[#This Row],[Total_Revenue]]-Table1_1[[#This Row],[Total_Cost]]</f>
        <v>-273385</v>
      </c>
      <c r="T139" s="9">
        <f>(Table1_1[[#This Row],[Total_Profit]]/Table1_1[[#This Row],[Total_Revenue]])</f>
        <v>-0.47279710979560002</v>
      </c>
      <c r="U139" s="5">
        <v>10</v>
      </c>
      <c r="V139" s="6" t="s">
        <v>33</v>
      </c>
      <c r="W139" s="8">
        <v>4.5</v>
      </c>
      <c r="X139" t="str" cm="1">
        <f t="array" ref="X139">_xlfn.IFS(Table1_1[[#This Row],[Customer_Rating]]&lt;3,"Poor",Table1_1[[#This Row],[Customer_Rating]]&lt;4,"Good",Table1_1[[#This Row],[Customer_Rating]]&gt;=4,"Excellent")</f>
        <v>Excellent</v>
      </c>
    </row>
    <row r="140" spans="1:24" x14ac:dyDescent="0.35">
      <c r="A140" s="2" t="s">
        <v>281</v>
      </c>
      <c r="B140" s="3">
        <v>45872</v>
      </c>
      <c r="C140" s="3" t="str">
        <f>TEXT(Table1_1[[#This Row],[Date]],"YYYY")</f>
        <v>2025</v>
      </c>
      <c r="D140" s="3" t="str">
        <f>TEXT(Table1_1[[#This Row],[Date]],"mmm")</f>
        <v>Aug</v>
      </c>
      <c r="E140" s="2" t="s">
        <v>32</v>
      </c>
      <c r="F140" s="2" t="str">
        <f>INDEX(IndiGo_Flight_Data!$R$2:$R$11,MATCH(Table1_1[[#This Row],[Route]],_xlfn.ANCHORARRAY(IndiGo_Flight_Data!$Q$2),0))</f>
        <v>Bengaluru - Cochin</v>
      </c>
      <c r="G140" s="2" t="s">
        <v>24</v>
      </c>
      <c r="H140">
        <v>150</v>
      </c>
      <c r="I140">
        <v>180</v>
      </c>
      <c r="J140">
        <f>Table1_1[[#This Row],[Seat_Capacity]]-Table1_1[[#This Row],[Passengers]]</f>
        <v>30</v>
      </c>
      <c r="K140">
        <v>83.33</v>
      </c>
      <c r="L140" t="str" cm="1">
        <f t="array" ref="L140">_xlfn.IFS(Table1_1[[#This Row],[Load_Factor_%]]&lt;60,"Low",Table1_1[[#This Row],[Load_Factor_%]]&lt;85,"Intermediate",Table1_1[[#This Row],[Load_Factor_%]]&gt;=85,"High")</f>
        <v>Intermediate</v>
      </c>
      <c r="M140" s="4">
        <v>1104251</v>
      </c>
      <c r="N140" s="4">
        <v>30833</v>
      </c>
      <c r="O140" s="4">
        <f>SUM(Table1_1[[#This Row],[Ticket_Revenue_INR]:[Cargo_Revenue_INR]])</f>
        <v>1135084</v>
      </c>
      <c r="P140" s="4">
        <v>282884</v>
      </c>
      <c r="Q140" s="4">
        <v>924294</v>
      </c>
      <c r="R140" s="4">
        <f>SUM(Table1_1[[#This Row],[Fuel_Cost_INR]:[Operating_Cost_INR]])</f>
        <v>1207178</v>
      </c>
      <c r="S140" s="4">
        <f>Table1_1[[#This Row],[Total_Revenue]]-Table1_1[[#This Row],[Total_Cost]]</f>
        <v>-72094</v>
      </c>
      <c r="T140" s="9">
        <f>(Table1_1[[#This Row],[Total_Profit]]/Table1_1[[#This Row],[Total_Revenue]])</f>
        <v>-6.3514242117763978E-2</v>
      </c>
      <c r="U140" s="5">
        <v>63</v>
      </c>
      <c r="V140" s="6" t="s">
        <v>18</v>
      </c>
      <c r="W140" s="8">
        <v>4.8</v>
      </c>
      <c r="X140" t="str" cm="1">
        <f t="array" ref="X140">_xlfn.IFS(Table1_1[[#This Row],[Customer_Rating]]&lt;3,"Poor",Table1_1[[#This Row],[Customer_Rating]]&lt;4,"Good",Table1_1[[#This Row],[Customer_Rating]]&gt;=4,"Excellent")</f>
        <v>Excellent</v>
      </c>
    </row>
    <row r="141" spans="1:24" x14ac:dyDescent="0.35">
      <c r="A141" s="2" t="s">
        <v>282</v>
      </c>
      <c r="B141" s="3">
        <v>45762</v>
      </c>
      <c r="C141" s="3" t="str">
        <f>TEXT(Table1_1[[#This Row],[Date]],"YYYY")</f>
        <v>2025</v>
      </c>
      <c r="D141" s="3" t="str">
        <f>TEXT(Table1_1[[#This Row],[Date]],"mmm")</f>
        <v>Apr</v>
      </c>
      <c r="E141" s="2" t="s">
        <v>32</v>
      </c>
      <c r="F141" s="2" t="str">
        <f>INDEX(IndiGo_Flight_Data!$R$2:$R$11,MATCH(Table1_1[[#This Row],[Route]],_xlfn.ANCHORARRAY(IndiGo_Flight_Data!$Q$2),0))</f>
        <v>Bengaluru - Cochin</v>
      </c>
      <c r="G141" s="2" t="s">
        <v>43</v>
      </c>
      <c r="H141">
        <v>179</v>
      </c>
      <c r="I141">
        <v>232</v>
      </c>
      <c r="J141">
        <f>Table1_1[[#This Row],[Seat_Capacity]]-Table1_1[[#This Row],[Passengers]]</f>
        <v>53</v>
      </c>
      <c r="K141">
        <v>77.16</v>
      </c>
      <c r="L141" t="str" cm="1">
        <f t="array" ref="L141">_xlfn.IFS(Table1_1[[#This Row],[Load_Factor_%]]&lt;60,"Low",Table1_1[[#This Row],[Load_Factor_%]]&lt;85,"Intermediate",Table1_1[[#This Row],[Load_Factor_%]]&gt;=85,"High")</f>
        <v>Intermediate</v>
      </c>
      <c r="M141" s="4">
        <v>1348959</v>
      </c>
      <c r="N141" s="4">
        <v>146985</v>
      </c>
      <c r="O141" s="4">
        <f>SUM(Table1_1[[#This Row],[Ticket_Revenue_INR]:[Cargo_Revenue_INR]])</f>
        <v>1495944</v>
      </c>
      <c r="P141" s="4">
        <v>1133836</v>
      </c>
      <c r="Q141" s="4">
        <v>1684274</v>
      </c>
      <c r="R141" s="4">
        <f>SUM(Table1_1[[#This Row],[Fuel_Cost_INR]:[Operating_Cost_INR]])</f>
        <v>2818110</v>
      </c>
      <c r="S141" s="4">
        <f>Table1_1[[#This Row],[Total_Revenue]]-Table1_1[[#This Row],[Total_Cost]]</f>
        <v>-1322166</v>
      </c>
      <c r="T141" s="9">
        <f>(Table1_1[[#This Row],[Total_Profit]]/Table1_1[[#This Row],[Total_Revenue]])</f>
        <v>-0.88383388682998831</v>
      </c>
      <c r="U141" s="5">
        <v>48</v>
      </c>
      <c r="V141" s="6" t="s">
        <v>18</v>
      </c>
      <c r="W141" s="8">
        <v>4.5</v>
      </c>
      <c r="X141" t="str" cm="1">
        <f t="array" ref="X141">_xlfn.IFS(Table1_1[[#This Row],[Customer_Rating]]&lt;3,"Poor",Table1_1[[#This Row],[Customer_Rating]]&lt;4,"Good",Table1_1[[#This Row],[Customer_Rating]]&gt;=4,"Excellent")</f>
        <v>Excellent</v>
      </c>
    </row>
    <row r="142" spans="1:24" x14ac:dyDescent="0.35">
      <c r="A142" s="2" t="s">
        <v>284</v>
      </c>
      <c r="B142" s="3">
        <v>45872</v>
      </c>
      <c r="C142" s="3" t="str">
        <f>TEXT(Table1_1[[#This Row],[Date]],"YYYY")</f>
        <v>2025</v>
      </c>
      <c r="D142" s="3" t="str">
        <f>TEXT(Table1_1[[#This Row],[Date]],"mmm")</f>
        <v>Aug</v>
      </c>
      <c r="E142" s="2" t="s">
        <v>59</v>
      </c>
      <c r="F142" s="2" t="str">
        <f>INDEX(IndiGo_Flight_Data!$R$2:$R$11,MATCH(Table1_1[[#This Row],[Route]],_xlfn.ANCHORARRAY(IndiGo_Flight_Data!$Q$2),0))</f>
        <v>Bengaluru - Bombay</v>
      </c>
      <c r="G142" s="2" t="s">
        <v>24</v>
      </c>
      <c r="H142">
        <v>154</v>
      </c>
      <c r="I142">
        <v>180</v>
      </c>
      <c r="J142">
        <f>Table1_1[[#This Row],[Seat_Capacity]]-Table1_1[[#This Row],[Passengers]]</f>
        <v>26</v>
      </c>
      <c r="K142">
        <v>85.56</v>
      </c>
      <c r="L142" t="str" cm="1">
        <f t="array" ref="L142">_xlfn.IFS(Table1_1[[#This Row],[Load_Factor_%]]&lt;60,"Low",Table1_1[[#This Row],[Load_Factor_%]]&lt;85,"Intermediate",Table1_1[[#This Row],[Load_Factor_%]]&gt;=85,"High")</f>
        <v>High</v>
      </c>
      <c r="M142" s="4">
        <v>670397</v>
      </c>
      <c r="N142" s="4">
        <v>46679</v>
      </c>
      <c r="O142" s="4">
        <f>SUM(Table1_1[[#This Row],[Ticket_Revenue_INR]:[Cargo_Revenue_INR]])</f>
        <v>717076</v>
      </c>
      <c r="P142" s="4">
        <v>340631</v>
      </c>
      <c r="Q142" s="4">
        <v>981500</v>
      </c>
      <c r="R142" s="4">
        <f>SUM(Table1_1[[#This Row],[Fuel_Cost_INR]:[Operating_Cost_INR]])</f>
        <v>1322131</v>
      </c>
      <c r="S142" s="4">
        <f>Table1_1[[#This Row],[Total_Revenue]]-Table1_1[[#This Row],[Total_Cost]]</f>
        <v>-605055</v>
      </c>
      <c r="T142" s="9">
        <f>(Table1_1[[#This Row],[Total_Profit]]/Table1_1[[#This Row],[Total_Revenue]])</f>
        <v>-0.84378085447009799</v>
      </c>
      <c r="U142" s="5">
        <v>0</v>
      </c>
      <c r="V142" s="6" t="s">
        <v>33</v>
      </c>
      <c r="W142" s="8">
        <v>4.4000000000000004</v>
      </c>
      <c r="X142" t="str" cm="1">
        <f t="array" ref="X142">_xlfn.IFS(Table1_1[[#This Row],[Customer_Rating]]&lt;3,"Poor",Table1_1[[#This Row],[Customer_Rating]]&lt;4,"Good",Table1_1[[#This Row],[Customer_Rating]]&gt;=4,"Excellent")</f>
        <v>Excellent</v>
      </c>
    </row>
    <row r="143" spans="1:24" x14ac:dyDescent="0.35">
      <c r="A143" s="2" t="s">
        <v>285</v>
      </c>
      <c r="B143" s="3">
        <v>45764</v>
      </c>
      <c r="C143" s="3" t="str">
        <f>TEXT(Table1_1[[#This Row],[Date]],"YYYY")</f>
        <v>2025</v>
      </c>
      <c r="D143" s="3" t="str">
        <f>TEXT(Table1_1[[#This Row],[Date]],"mmm")</f>
        <v>Apr</v>
      </c>
      <c r="E143" s="2" t="s">
        <v>42</v>
      </c>
      <c r="F143" s="2" t="str">
        <f>INDEX(IndiGo_Flight_Data!$R$2:$R$11,MATCH(Table1_1[[#This Row],[Route]],_xlfn.ANCHORARRAY(IndiGo_Flight_Data!$Q$2),0))</f>
        <v>Bombay - Hyderabad</v>
      </c>
      <c r="G143" s="2" t="s">
        <v>24</v>
      </c>
      <c r="H143">
        <v>163</v>
      </c>
      <c r="I143">
        <v>180</v>
      </c>
      <c r="J143">
        <f>Table1_1[[#This Row],[Seat_Capacity]]-Table1_1[[#This Row],[Passengers]]</f>
        <v>17</v>
      </c>
      <c r="K143">
        <v>90.56</v>
      </c>
      <c r="L143" t="str" cm="1">
        <f t="array" ref="L143">_xlfn.IFS(Table1_1[[#This Row],[Load_Factor_%]]&lt;60,"Low",Table1_1[[#This Row],[Load_Factor_%]]&lt;85,"Intermediate",Table1_1[[#This Row],[Load_Factor_%]]&gt;=85,"High")</f>
        <v>High</v>
      </c>
      <c r="M143" s="4">
        <v>983809</v>
      </c>
      <c r="N143" s="4">
        <v>119021</v>
      </c>
      <c r="O143" s="4">
        <f>SUM(Table1_1[[#This Row],[Ticket_Revenue_INR]:[Cargo_Revenue_INR]])</f>
        <v>1102830</v>
      </c>
      <c r="P143" s="4">
        <v>1085202</v>
      </c>
      <c r="Q143" s="4">
        <v>1301568</v>
      </c>
      <c r="R143" s="4">
        <f>SUM(Table1_1[[#This Row],[Fuel_Cost_INR]:[Operating_Cost_INR]])</f>
        <v>2386770</v>
      </c>
      <c r="S143" s="4">
        <f>Table1_1[[#This Row],[Total_Revenue]]-Table1_1[[#This Row],[Total_Cost]]</f>
        <v>-1283940</v>
      </c>
      <c r="T143" s="9">
        <f>(Table1_1[[#This Row],[Total_Profit]]/Table1_1[[#This Row],[Total_Revenue]])</f>
        <v>-1.1642229536737303</v>
      </c>
      <c r="U143" s="5">
        <v>57</v>
      </c>
      <c r="V143" s="6" t="s">
        <v>18</v>
      </c>
      <c r="W143" s="8">
        <v>4.3</v>
      </c>
      <c r="X143" t="str" cm="1">
        <f t="array" ref="X143">_xlfn.IFS(Table1_1[[#This Row],[Customer_Rating]]&lt;3,"Poor",Table1_1[[#This Row],[Customer_Rating]]&lt;4,"Good",Table1_1[[#This Row],[Customer_Rating]]&gt;=4,"Excellent")</f>
        <v>Excellent</v>
      </c>
    </row>
    <row r="144" spans="1:24" x14ac:dyDescent="0.35">
      <c r="A144" s="2" t="s">
        <v>287</v>
      </c>
      <c r="B144" s="3">
        <v>45818</v>
      </c>
      <c r="C144" s="3" t="str">
        <f>TEXT(Table1_1[[#This Row],[Date]],"YYYY")</f>
        <v>2025</v>
      </c>
      <c r="D144" s="3" t="str">
        <f>TEXT(Table1_1[[#This Row],[Date]],"mmm")</f>
        <v>Jun</v>
      </c>
      <c r="E144" s="2" t="s">
        <v>76</v>
      </c>
      <c r="F144" s="2" t="str">
        <f>INDEX(IndiGo_Flight_Data!$R$2:$R$11,MATCH(Table1_1[[#This Row],[Route]],_xlfn.ANCHORARRAY(IndiGo_Flight_Data!$Q$2),0))</f>
        <v>Madras - Delhi</v>
      </c>
      <c r="G144" s="2" t="s">
        <v>43</v>
      </c>
      <c r="H144">
        <v>175</v>
      </c>
      <c r="I144">
        <v>232</v>
      </c>
      <c r="J144">
        <f>Table1_1[[#This Row],[Seat_Capacity]]-Table1_1[[#This Row],[Passengers]]</f>
        <v>57</v>
      </c>
      <c r="K144">
        <v>75.430000000000007</v>
      </c>
      <c r="L144" t="str" cm="1">
        <f t="array" ref="L144">_xlfn.IFS(Table1_1[[#This Row],[Load_Factor_%]]&lt;60,"Low",Table1_1[[#This Row],[Load_Factor_%]]&lt;85,"Intermediate",Table1_1[[#This Row],[Load_Factor_%]]&gt;=85,"High")</f>
        <v>Intermediate</v>
      </c>
      <c r="M144" s="4">
        <v>1492622</v>
      </c>
      <c r="N144" s="4">
        <v>125343</v>
      </c>
      <c r="O144" s="4">
        <f>SUM(Table1_1[[#This Row],[Ticket_Revenue_INR]:[Cargo_Revenue_INR]])</f>
        <v>1617965</v>
      </c>
      <c r="P144" s="4">
        <v>712223</v>
      </c>
      <c r="Q144" s="4">
        <v>1008287</v>
      </c>
      <c r="R144" s="4">
        <f>SUM(Table1_1[[#This Row],[Fuel_Cost_INR]:[Operating_Cost_INR]])</f>
        <v>1720510</v>
      </c>
      <c r="S144" s="4">
        <f>Table1_1[[#This Row],[Total_Revenue]]-Table1_1[[#This Row],[Total_Cost]]</f>
        <v>-102545</v>
      </c>
      <c r="T144" s="9">
        <f>(Table1_1[[#This Row],[Total_Profit]]/Table1_1[[#This Row],[Total_Revenue]])</f>
        <v>-6.337899769154462E-2</v>
      </c>
      <c r="U144" s="5">
        <v>27</v>
      </c>
      <c r="V144" s="6" t="s">
        <v>18</v>
      </c>
      <c r="W144" s="8">
        <v>3.9</v>
      </c>
      <c r="X144" t="str" cm="1">
        <f t="array" ref="X144">_xlfn.IFS(Table1_1[[#This Row],[Customer_Rating]]&lt;3,"Poor",Table1_1[[#This Row],[Customer_Rating]]&lt;4,"Good",Table1_1[[#This Row],[Customer_Rating]]&gt;=4,"Excellent")</f>
        <v>Good</v>
      </c>
    </row>
    <row r="145" spans="1:24" x14ac:dyDescent="0.35">
      <c r="A145" s="2" t="s">
        <v>288</v>
      </c>
      <c r="B145" s="3">
        <v>45885</v>
      </c>
      <c r="C145" s="3" t="str">
        <f>TEXT(Table1_1[[#This Row],[Date]],"YYYY")</f>
        <v>2025</v>
      </c>
      <c r="D145" s="3" t="str">
        <f>TEXT(Table1_1[[#This Row],[Date]],"mmm")</f>
        <v>Aug</v>
      </c>
      <c r="E145" s="2" t="s">
        <v>21</v>
      </c>
      <c r="F145" s="2" t="str">
        <f>INDEX(IndiGo_Flight_Data!$R$2:$R$11,MATCH(Table1_1[[#This Row],[Route]],_xlfn.ANCHORARRAY(IndiGo_Flight_Data!$Q$2),0))</f>
        <v>Bengaluru - Hyderabad</v>
      </c>
      <c r="G145" s="2" t="s">
        <v>24</v>
      </c>
      <c r="H145">
        <v>176</v>
      </c>
      <c r="I145">
        <v>180</v>
      </c>
      <c r="J145">
        <f>Table1_1[[#This Row],[Seat_Capacity]]-Table1_1[[#This Row],[Passengers]]</f>
        <v>4</v>
      </c>
      <c r="K145">
        <v>97.78</v>
      </c>
      <c r="L145" t="str" cm="1">
        <f t="array" ref="L145">_xlfn.IFS(Table1_1[[#This Row],[Load_Factor_%]]&lt;60,"Low",Table1_1[[#This Row],[Load_Factor_%]]&lt;85,"Intermediate",Table1_1[[#This Row],[Load_Factor_%]]&gt;=85,"High")</f>
        <v>High</v>
      </c>
      <c r="M145" s="4">
        <v>807822</v>
      </c>
      <c r="N145" s="4">
        <v>130509</v>
      </c>
      <c r="O145" s="4">
        <f>SUM(Table1_1[[#This Row],[Ticket_Revenue_INR]:[Cargo_Revenue_INR]])</f>
        <v>938331</v>
      </c>
      <c r="P145" s="4">
        <v>364755</v>
      </c>
      <c r="Q145" s="4">
        <v>606356</v>
      </c>
      <c r="R145" s="4">
        <f>SUM(Table1_1[[#This Row],[Fuel_Cost_INR]:[Operating_Cost_INR]])</f>
        <v>971111</v>
      </c>
      <c r="S145" s="4">
        <f>Table1_1[[#This Row],[Total_Revenue]]-Table1_1[[#This Row],[Total_Cost]]</f>
        <v>-32780</v>
      </c>
      <c r="T145" s="9">
        <f>(Table1_1[[#This Row],[Total_Profit]]/Table1_1[[#This Row],[Total_Revenue]])</f>
        <v>-3.4934367509972496E-2</v>
      </c>
      <c r="U145" s="5">
        <v>13</v>
      </c>
      <c r="V145" s="6" t="s">
        <v>33</v>
      </c>
      <c r="W145" s="8">
        <v>4.5</v>
      </c>
      <c r="X145" t="str" cm="1">
        <f t="array" ref="X145">_xlfn.IFS(Table1_1[[#This Row],[Customer_Rating]]&lt;3,"Poor",Table1_1[[#This Row],[Customer_Rating]]&lt;4,"Good",Table1_1[[#This Row],[Customer_Rating]]&gt;=4,"Excellent")</f>
        <v>Excellent</v>
      </c>
    </row>
    <row r="146" spans="1:24" x14ac:dyDescent="0.35">
      <c r="A146" s="2" t="s">
        <v>289</v>
      </c>
      <c r="B146" s="3">
        <v>45938</v>
      </c>
      <c r="C146" s="3" t="str">
        <f>TEXT(Table1_1[[#This Row],[Date]],"YYYY")</f>
        <v>2025</v>
      </c>
      <c r="D146" s="3" t="str">
        <f>TEXT(Table1_1[[#This Row],[Date]],"mmm")</f>
        <v>Oct</v>
      </c>
      <c r="E146" s="2" t="s">
        <v>36</v>
      </c>
      <c r="F146" s="2" t="str">
        <f>INDEX(IndiGo_Flight_Data!$R$2:$R$11,MATCH(Table1_1[[#This Row],[Route]],_xlfn.ANCHORARRAY(IndiGo_Flight_Data!$Q$2),0))</f>
        <v>Delhi - Bombay</v>
      </c>
      <c r="G146" s="2" t="s">
        <v>17</v>
      </c>
      <c r="H146">
        <v>72</v>
      </c>
      <c r="I146">
        <v>78</v>
      </c>
      <c r="J146">
        <f>Table1_1[[#This Row],[Seat_Capacity]]-Table1_1[[#This Row],[Passengers]]</f>
        <v>6</v>
      </c>
      <c r="K146">
        <v>92.31</v>
      </c>
      <c r="L146" t="str" cm="1">
        <f t="array" ref="L146">_xlfn.IFS(Table1_1[[#This Row],[Load_Factor_%]]&lt;60,"Low",Table1_1[[#This Row],[Load_Factor_%]]&lt;85,"Intermediate",Table1_1[[#This Row],[Load_Factor_%]]&gt;=85,"High")</f>
        <v>High</v>
      </c>
      <c r="M146" s="4">
        <v>418031</v>
      </c>
      <c r="N146" s="4">
        <v>47839</v>
      </c>
      <c r="O146" s="4">
        <f>SUM(Table1_1[[#This Row],[Ticket_Revenue_INR]:[Cargo_Revenue_INR]])</f>
        <v>465870</v>
      </c>
      <c r="P146" s="4">
        <v>498234</v>
      </c>
      <c r="Q146" s="4">
        <v>1095584</v>
      </c>
      <c r="R146" s="4">
        <f>SUM(Table1_1[[#This Row],[Fuel_Cost_INR]:[Operating_Cost_INR]])</f>
        <v>1593818</v>
      </c>
      <c r="S146" s="4">
        <f>Table1_1[[#This Row],[Total_Revenue]]-Table1_1[[#This Row],[Total_Cost]]</f>
        <v>-1127948</v>
      </c>
      <c r="T146" s="9">
        <f>(Table1_1[[#This Row],[Total_Profit]]/Table1_1[[#This Row],[Total_Revenue]])</f>
        <v>-2.4211647025994374</v>
      </c>
      <c r="U146" s="5">
        <v>30</v>
      </c>
      <c r="V146" s="6" t="s">
        <v>18</v>
      </c>
      <c r="W146" s="8">
        <v>3.9</v>
      </c>
      <c r="X146" t="str" cm="1">
        <f t="array" ref="X146">_xlfn.IFS(Table1_1[[#This Row],[Customer_Rating]]&lt;3,"Poor",Table1_1[[#This Row],[Customer_Rating]]&lt;4,"Good",Table1_1[[#This Row],[Customer_Rating]]&gt;=4,"Excellent")</f>
        <v>Good</v>
      </c>
    </row>
    <row r="147" spans="1:24" x14ac:dyDescent="0.35">
      <c r="A147" s="2" t="s">
        <v>291</v>
      </c>
      <c r="B147" s="3">
        <v>45948</v>
      </c>
      <c r="C147" s="3" t="str">
        <f>TEXT(Table1_1[[#This Row],[Date]],"YYYY")</f>
        <v>2025</v>
      </c>
      <c r="D147" s="3" t="str">
        <f>TEXT(Table1_1[[#This Row],[Date]],"mmm")</f>
        <v>Oct</v>
      </c>
      <c r="E147" s="2" t="s">
        <v>76</v>
      </c>
      <c r="F147" s="2" t="str">
        <f>INDEX(IndiGo_Flight_Data!$R$2:$R$11,MATCH(Table1_1[[#This Row],[Route]],_xlfn.ANCHORARRAY(IndiGo_Flight_Data!$Q$2),0))</f>
        <v>Madras - Delhi</v>
      </c>
      <c r="G147" s="2" t="s">
        <v>24</v>
      </c>
      <c r="H147">
        <v>116</v>
      </c>
      <c r="I147">
        <v>180</v>
      </c>
      <c r="J147">
        <f>Table1_1[[#This Row],[Seat_Capacity]]-Table1_1[[#This Row],[Passengers]]</f>
        <v>64</v>
      </c>
      <c r="K147">
        <v>64.44</v>
      </c>
      <c r="L147" t="str" cm="1">
        <f t="array" ref="L147">_xlfn.IFS(Table1_1[[#This Row],[Load_Factor_%]]&lt;60,"Low",Table1_1[[#This Row],[Load_Factor_%]]&lt;85,"Intermediate",Table1_1[[#This Row],[Load_Factor_%]]&gt;=85,"High")</f>
        <v>Intermediate</v>
      </c>
      <c r="M147" s="4">
        <v>537477</v>
      </c>
      <c r="N147" s="4">
        <v>47101</v>
      </c>
      <c r="O147" s="4">
        <f>SUM(Table1_1[[#This Row],[Ticket_Revenue_INR]:[Cargo_Revenue_INR]])</f>
        <v>584578</v>
      </c>
      <c r="P147" s="4">
        <v>1042396</v>
      </c>
      <c r="Q147" s="4">
        <v>1483339</v>
      </c>
      <c r="R147" s="4">
        <f>SUM(Table1_1[[#This Row],[Fuel_Cost_INR]:[Operating_Cost_INR]])</f>
        <v>2525735</v>
      </c>
      <c r="S147" s="4">
        <f>Table1_1[[#This Row],[Total_Revenue]]-Table1_1[[#This Row],[Total_Cost]]</f>
        <v>-1941157</v>
      </c>
      <c r="T147" s="9">
        <f>(Table1_1[[#This Row],[Total_Profit]]/Table1_1[[#This Row],[Total_Revenue]])</f>
        <v>-3.3206124760083342</v>
      </c>
      <c r="U147" s="5">
        <v>25</v>
      </c>
      <c r="V147" s="6" t="s">
        <v>18</v>
      </c>
      <c r="W147" s="8">
        <v>4.7</v>
      </c>
      <c r="X147" t="str" cm="1">
        <f t="array" ref="X147">_xlfn.IFS(Table1_1[[#This Row],[Customer_Rating]]&lt;3,"Poor",Table1_1[[#This Row],[Customer_Rating]]&lt;4,"Good",Table1_1[[#This Row],[Customer_Rating]]&gt;=4,"Excellent")</f>
        <v>Excellent</v>
      </c>
    </row>
    <row r="148" spans="1:24" x14ac:dyDescent="0.35">
      <c r="A148" s="2" t="s">
        <v>292</v>
      </c>
      <c r="B148" s="3">
        <v>45929</v>
      </c>
      <c r="C148" s="3" t="str">
        <f>TEXT(Table1_1[[#This Row],[Date]],"YYYY")</f>
        <v>2025</v>
      </c>
      <c r="D148" s="3" t="str">
        <f>TEXT(Table1_1[[#This Row],[Date]],"mmm")</f>
        <v>Sep</v>
      </c>
      <c r="E148" s="2" t="s">
        <v>32</v>
      </c>
      <c r="F148" s="2" t="str">
        <f>INDEX(IndiGo_Flight_Data!$R$2:$R$11,MATCH(Table1_1[[#This Row],[Route]],_xlfn.ANCHORARRAY(IndiGo_Flight_Data!$Q$2),0))</f>
        <v>Bengaluru - Cochin</v>
      </c>
      <c r="G148" s="2" t="s">
        <v>24</v>
      </c>
      <c r="H148">
        <v>150</v>
      </c>
      <c r="I148">
        <v>180</v>
      </c>
      <c r="J148">
        <f>Table1_1[[#This Row],[Seat_Capacity]]-Table1_1[[#This Row],[Passengers]]</f>
        <v>30</v>
      </c>
      <c r="K148">
        <v>83.33</v>
      </c>
      <c r="L148" t="str" cm="1">
        <f t="array" ref="L148">_xlfn.IFS(Table1_1[[#This Row],[Load_Factor_%]]&lt;60,"Low",Table1_1[[#This Row],[Load_Factor_%]]&lt;85,"Intermediate",Table1_1[[#This Row],[Load_Factor_%]]&gt;=85,"High")</f>
        <v>Intermediate</v>
      </c>
      <c r="M148" s="4">
        <v>1002936</v>
      </c>
      <c r="N148" s="4">
        <v>27661</v>
      </c>
      <c r="O148" s="4">
        <f>SUM(Table1_1[[#This Row],[Ticket_Revenue_INR]:[Cargo_Revenue_INR]])</f>
        <v>1030597</v>
      </c>
      <c r="P148" s="4">
        <v>708132</v>
      </c>
      <c r="Q148" s="4">
        <v>1218281</v>
      </c>
      <c r="R148" s="4">
        <f>SUM(Table1_1[[#This Row],[Fuel_Cost_INR]:[Operating_Cost_INR]])</f>
        <v>1926413</v>
      </c>
      <c r="S148" s="4">
        <f>Table1_1[[#This Row],[Total_Revenue]]-Table1_1[[#This Row],[Total_Cost]]</f>
        <v>-895816</v>
      </c>
      <c r="T148" s="9">
        <f>(Table1_1[[#This Row],[Total_Profit]]/Table1_1[[#This Row],[Total_Revenue]])</f>
        <v>-0.86922046153831223</v>
      </c>
      <c r="U148" s="5">
        <v>17</v>
      </c>
      <c r="V148" s="6" t="s">
        <v>18</v>
      </c>
      <c r="W148" s="8">
        <v>3.7</v>
      </c>
      <c r="X148" t="str" cm="1">
        <f t="array" ref="X148">_xlfn.IFS(Table1_1[[#This Row],[Customer_Rating]]&lt;3,"Poor",Table1_1[[#This Row],[Customer_Rating]]&lt;4,"Good",Table1_1[[#This Row],[Customer_Rating]]&gt;=4,"Excellent")</f>
        <v>Good</v>
      </c>
    </row>
    <row r="149" spans="1:24" x14ac:dyDescent="0.35">
      <c r="A149" s="2" t="s">
        <v>294</v>
      </c>
      <c r="B149" s="3">
        <v>45727</v>
      </c>
      <c r="C149" s="3" t="str">
        <f>TEXT(Table1_1[[#This Row],[Date]],"YYYY")</f>
        <v>2025</v>
      </c>
      <c r="D149" s="3" t="str">
        <f>TEXT(Table1_1[[#This Row],[Date]],"mmm")</f>
        <v>Mar</v>
      </c>
      <c r="E149" s="2" t="s">
        <v>16</v>
      </c>
      <c r="F149" s="2" t="str">
        <f>INDEX(IndiGo_Flight_Data!$R$2:$R$11,MATCH(Table1_1[[#This Row],[Route]],_xlfn.ANCHORARRAY(IndiGo_Flight_Data!$Q$2),0))</f>
        <v>Delhi - Goa</v>
      </c>
      <c r="G149" s="2" t="s">
        <v>43</v>
      </c>
      <c r="H149">
        <v>195</v>
      </c>
      <c r="I149">
        <v>232</v>
      </c>
      <c r="J149">
        <f>Table1_1[[#This Row],[Seat_Capacity]]-Table1_1[[#This Row],[Passengers]]</f>
        <v>37</v>
      </c>
      <c r="K149">
        <v>84.05</v>
      </c>
      <c r="L149" t="str" cm="1">
        <f t="array" ref="L149">_xlfn.IFS(Table1_1[[#This Row],[Load_Factor_%]]&lt;60,"Low",Table1_1[[#This Row],[Load_Factor_%]]&lt;85,"Intermediate",Table1_1[[#This Row],[Load_Factor_%]]&gt;=85,"High")</f>
        <v>Intermediate</v>
      </c>
      <c r="M149" s="4">
        <v>1461706</v>
      </c>
      <c r="N149" s="4">
        <v>105781</v>
      </c>
      <c r="O149" s="4">
        <f>SUM(Table1_1[[#This Row],[Ticket_Revenue_INR]:[Cargo_Revenue_INR]])</f>
        <v>1567487</v>
      </c>
      <c r="P149" s="4">
        <v>425764</v>
      </c>
      <c r="Q149" s="4">
        <v>983745</v>
      </c>
      <c r="R149" s="4">
        <f>SUM(Table1_1[[#This Row],[Fuel_Cost_INR]:[Operating_Cost_INR]])</f>
        <v>1409509</v>
      </c>
      <c r="S149" s="4">
        <f>Table1_1[[#This Row],[Total_Revenue]]-Table1_1[[#This Row],[Total_Cost]]</f>
        <v>157978</v>
      </c>
      <c r="T149" s="9">
        <f>(Table1_1[[#This Row],[Total_Profit]]/Table1_1[[#This Row],[Total_Revenue]])</f>
        <v>0.10078424892838027</v>
      </c>
      <c r="U149" s="5">
        <v>5</v>
      </c>
      <c r="V149" s="6" t="s">
        <v>33</v>
      </c>
      <c r="W149" s="8">
        <v>4.5</v>
      </c>
      <c r="X149" t="str" cm="1">
        <f t="array" ref="X149">_xlfn.IFS(Table1_1[[#This Row],[Customer_Rating]]&lt;3,"Poor",Table1_1[[#This Row],[Customer_Rating]]&lt;4,"Good",Table1_1[[#This Row],[Customer_Rating]]&gt;=4,"Excellent")</f>
        <v>Excellent</v>
      </c>
    </row>
    <row r="150" spans="1:24" x14ac:dyDescent="0.35">
      <c r="A150" s="2" t="s">
        <v>296</v>
      </c>
      <c r="B150" s="3">
        <v>45941</v>
      </c>
      <c r="C150" s="3" t="str">
        <f>TEXT(Table1_1[[#This Row],[Date]],"YYYY")</f>
        <v>2025</v>
      </c>
      <c r="D150" s="3" t="str">
        <f>TEXT(Table1_1[[#This Row],[Date]],"mmm")</f>
        <v>Oct</v>
      </c>
      <c r="E150" s="2" t="s">
        <v>59</v>
      </c>
      <c r="F150" s="2" t="str">
        <f>INDEX(IndiGo_Flight_Data!$R$2:$R$11,MATCH(Table1_1[[#This Row],[Route]],_xlfn.ANCHORARRAY(IndiGo_Flight_Data!$Q$2),0))</f>
        <v>Bengaluru - Bombay</v>
      </c>
      <c r="G150" s="2" t="s">
        <v>24</v>
      </c>
      <c r="H150">
        <v>110</v>
      </c>
      <c r="I150">
        <v>180</v>
      </c>
      <c r="J150">
        <f>Table1_1[[#This Row],[Seat_Capacity]]-Table1_1[[#This Row],[Passengers]]</f>
        <v>70</v>
      </c>
      <c r="K150">
        <v>61.11</v>
      </c>
      <c r="L150" t="str" cm="1">
        <f t="array" ref="L150">_xlfn.IFS(Table1_1[[#This Row],[Load_Factor_%]]&lt;60,"Low",Table1_1[[#This Row],[Load_Factor_%]]&lt;85,"Intermediate",Table1_1[[#This Row],[Load_Factor_%]]&gt;=85,"High")</f>
        <v>Intermediate</v>
      </c>
      <c r="M150" s="4">
        <v>529831</v>
      </c>
      <c r="N150" s="4">
        <v>92155</v>
      </c>
      <c r="O150" s="4">
        <f>SUM(Table1_1[[#This Row],[Ticket_Revenue_INR]:[Cargo_Revenue_INR]])</f>
        <v>621986</v>
      </c>
      <c r="P150" s="4">
        <v>1165269</v>
      </c>
      <c r="Q150" s="4">
        <v>1279879</v>
      </c>
      <c r="R150" s="4">
        <f>SUM(Table1_1[[#This Row],[Fuel_Cost_INR]:[Operating_Cost_INR]])</f>
        <v>2445148</v>
      </c>
      <c r="S150" s="4">
        <f>Table1_1[[#This Row],[Total_Revenue]]-Table1_1[[#This Row],[Total_Cost]]</f>
        <v>-1823162</v>
      </c>
      <c r="T150" s="9">
        <f>(Table1_1[[#This Row],[Total_Profit]]/Table1_1[[#This Row],[Total_Revenue]])</f>
        <v>-2.9311945928043395</v>
      </c>
      <c r="U150" s="5">
        <v>21</v>
      </c>
      <c r="V150" s="6" t="s">
        <v>18</v>
      </c>
      <c r="W150" s="8">
        <v>3.9</v>
      </c>
      <c r="X150" t="str" cm="1">
        <f t="array" ref="X150">_xlfn.IFS(Table1_1[[#This Row],[Customer_Rating]]&lt;3,"Poor",Table1_1[[#This Row],[Customer_Rating]]&lt;4,"Good",Table1_1[[#This Row],[Customer_Rating]]&gt;=4,"Excellent")</f>
        <v>Good</v>
      </c>
    </row>
    <row r="151" spans="1:24" x14ac:dyDescent="0.35">
      <c r="A151" s="2" t="s">
        <v>297</v>
      </c>
      <c r="B151" s="3">
        <v>45856</v>
      </c>
      <c r="C151" s="3" t="str">
        <f>TEXT(Table1_1[[#This Row],[Date]],"YYYY")</f>
        <v>2025</v>
      </c>
      <c r="D151" s="3" t="str">
        <f>TEXT(Table1_1[[#This Row],[Date]],"mmm")</f>
        <v>Jul</v>
      </c>
      <c r="E151" s="2" t="s">
        <v>117</v>
      </c>
      <c r="F151" s="2" t="str">
        <f>INDEX(IndiGo_Flight_Data!$R$2:$R$11,MATCH(Table1_1[[#This Row],[Route]],_xlfn.ANCHORARRAY(IndiGo_Flight_Data!$Q$2),0))</f>
        <v>Bengaluru - Calacatta</v>
      </c>
      <c r="G151" s="2" t="s">
        <v>24</v>
      </c>
      <c r="H151">
        <v>124</v>
      </c>
      <c r="I151">
        <v>180</v>
      </c>
      <c r="J151">
        <f>Table1_1[[#This Row],[Seat_Capacity]]-Table1_1[[#This Row],[Passengers]]</f>
        <v>56</v>
      </c>
      <c r="K151">
        <v>68.89</v>
      </c>
      <c r="L151" t="str" cm="1">
        <f t="array" ref="L151">_xlfn.IFS(Table1_1[[#This Row],[Load_Factor_%]]&lt;60,"Low",Table1_1[[#This Row],[Load_Factor_%]]&lt;85,"Intermediate",Table1_1[[#This Row],[Load_Factor_%]]&gt;=85,"High")</f>
        <v>Intermediate</v>
      </c>
      <c r="M151" s="4">
        <v>759329</v>
      </c>
      <c r="N151" s="4">
        <v>143595</v>
      </c>
      <c r="O151" s="4">
        <f>SUM(Table1_1[[#This Row],[Ticket_Revenue_INR]:[Cargo_Revenue_INR]])</f>
        <v>902924</v>
      </c>
      <c r="P151" s="4">
        <v>488134</v>
      </c>
      <c r="Q151" s="4">
        <v>937988</v>
      </c>
      <c r="R151" s="4">
        <f>SUM(Table1_1[[#This Row],[Fuel_Cost_INR]:[Operating_Cost_INR]])</f>
        <v>1426122</v>
      </c>
      <c r="S151" s="4">
        <f>Table1_1[[#This Row],[Total_Revenue]]-Table1_1[[#This Row],[Total_Cost]]</f>
        <v>-523198</v>
      </c>
      <c r="T151" s="9">
        <f>(Table1_1[[#This Row],[Total_Profit]]/Table1_1[[#This Row],[Total_Revenue]])</f>
        <v>-0.57944854716454541</v>
      </c>
      <c r="U151" s="5">
        <v>68</v>
      </c>
      <c r="V151" s="6" t="s">
        <v>18</v>
      </c>
      <c r="W151" s="8">
        <v>3.9</v>
      </c>
      <c r="X151" t="str" cm="1">
        <f t="array" ref="X151">_xlfn.IFS(Table1_1[[#This Row],[Customer_Rating]]&lt;3,"Poor",Table1_1[[#This Row],[Customer_Rating]]&lt;4,"Good",Table1_1[[#This Row],[Customer_Rating]]&gt;=4,"Excellent")</f>
        <v>Good</v>
      </c>
    </row>
    <row r="152" spans="1:24" x14ac:dyDescent="0.35">
      <c r="A152" s="2" t="s">
        <v>299</v>
      </c>
      <c r="B152" s="3">
        <v>45661</v>
      </c>
      <c r="C152" s="3" t="str">
        <f>TEXT(Table1_1[[#This Row],[Date]],"YYYY")</f>
        <v>2025</v>
      </c>
      <c r="D152" s="3" t="str">
        <f>TEXT(Table1_1[[#This Row],[Date]],"mmm")</f>
        <v>Jan</v>
      </c>
      <c r="E152" s="2" t="s">
        <v>16</v>
      </c>
      <c r="F152" s="2" t="str">
        <f>INDEX(IndiGo_Flight_Data!$R$2:$R$11,MATCH(Table1_1[[#This Row],[Route]],_xlfn.ANCHORARRAY(IndiGo_Flight_Data!$Q$2),0))</f>
        <v>Delhi - Goa</v>
      </c>
      <c r="G152" s="2" t="s">
        <v>43</v>
      </c>
      <c r="H152">
        <v>158</v>
      </c>
      <c r="I152">
        <v>232</v>
      </c>
      <c r="J152">
        <f>Table1_1[[#This Row],[Seat_Capacity]]-Table1_1[[#This Row],[Passengers]]</f>
        <v>74</v>
      </c>
      <c r="K152">
        <v>68.099999999999994</v>
      </c>
      <c r="L152" t="str" cm="1">
        <f t="array" ref="L152">_xlfn.IFS(Table1_1[[#This Row],[Load_Factor_%]]&lt;60,"Low",Table1_1[[#This Row],[Load_Factor_%]]&lt;85,"Intermediate",Table1_1[[#This Row],[Load_Factor_%]]&gt;=85,"High")</f>
        <v>Intermediate</v>
      </c>
      <c r="M152" s="4">
        <v>1102889</v>
      </c>
      <c r="N152" s="4">
        <v>36293</v>
      </c>
      <c r="O152" s="4">
        <f>SUM(Table1_1[[#This Row],[Ticket_Revenue_INR]:[Cargo_Revenue_INR]])</f>
        <v>1139182</v>
      </c>
      <c r="P152" s="4">
        <v>643893</v>
      </c>
      <c r="Q152" s="4">
        <v>1095749</v>
      </c>
      <c r="R152" s="4">
        <f>SUM(Table1_1[[#This Row],[Fuel_Cost_INR]:[Operating_Cost_INR]])</f>
        <v>1739642</v>
      </c>
      <c r="S152" s="4">
        <f>Table1_1[[#This Row],[Total_Revenue]]-Table1_1[[#This Row],[Total_Cost]]</f>
        <v>-600460</v>
      </c>
      <c r="T152" s="9">
        <f>(Table1_1[[#This Row],[Total_Profit]]/Table1_1[[#This Row],[Total_Revenue]])</f>
        <v>-0.52709751383009917</v>
      </c>
      <c r="U152" s="5">
        <v>60</v>
      </c>
      <c r="V152" s="6" t="s">
        <v>18</v>
      </c>
      <c r="W152" s="8">
        <v>3.7</v>
      </c>
      <c r="X152" t="str" cm="1">
        <f t="array" ref="X152">_xlfn.IFS(Table1_1[[#This Row],[Customer_Rating]]&lt;3,"Poor",Table1_1[[#This Row],[Customer_Rating]]&lt;4,"Good",Table1_1[[#This Row],[Customer_Rating]]&gt;=4,"Excellent")</f>
        <v>Good</v>
      </c>
    </row>
    <row r="153" spans="1:24" x14ac:dyDescent="0.35">
      <c r="A153" s="2" t="s">
        <v>301</v>
      </c>
      <c r="B153" s="3">
        <v>45850</v>
      </c>
      <c r="C153" s="3" t="str">
        <f>TEXT(Table1_1[[#This Row],[Date]],"YYYY")</f>
        <v>2025</v>
      </c>
      <c r="D153" s="3" t="str">
        <f>TEXT(Table1_1[[#This Row],[Date]],"mmm")</f>
        <v>Jul</v>
      </c>
      <c r="E153" s="2" t="s">
        <v>32</v>
      </c>
      <c r="F153" s="2" t="str">
        <f>INDEX(IndiGo_Flight_Data!$R$2:$R$11,MATCH(Table1_1[[#This Row],[Route]],_xlfn.ANCHORARRAY(IndiGo_Flight_Data!$Q$2),0))</f>
        <v>Bengaluru - Cochin</v>
      </c>
      <c r="G153" s="2" t="s">
        <v>43</v>
      </c>
      <c r="H153">
        <v>144</v>
      </c>
      <c r="I153">
        <v>232</v>
      </c>
      <c r="J153">
        <f>Table1_1[[#This Row],[Seat_Capacity]]-Table1_1[[#This Row],[Passengers]]</f>
        <v>88</v>
      </c>
      <c r="K153">
        <v>62.07</v>
      </c>
      <c r="L153" t="str" cm="1">
        <f t="array" ref="L153">_xlfn.IFS(Table1_1[[#This Row],[Load_Factor_%]]&lt;60,"Low",Table1_1[[#This Row],[Load_Factor_%]]&lt;85,"Intermediate",Table1_1[[#This Row],[Load_Factor_%]]&gt;=85,"High")</f>
        <v>Intermediate</v>
      </c>
      <c r="M153" s="4">
        <v>570675</v>
      </c>
      <c r="N153" s="4">
        <v>149758</v>
      </c>
      <c r="O153" s="4">
        <f>SUM(Table1_1[[#This Row],[Ticket_Revenue_INR]:[Cargo_Revenue_INR]])</f>
        <v>720433</v>
      </c>
      <c r="P153" s="4">
        <v>636186</v>
      </c>
      <c r="Q153" s="4">
        <v>1285417</v>
      </c>
      <c r="R153" s="4">
        <f>SUM(Table1_1[[#This Row],[Fuel_Cost_INR]:[Operating_Cost_INR]])</f>
        <v>1921603</v>
      </c>
      <c r="S153" s="4">
        <f>Table1_1[[#This Row],[Total_Revenue]]-Table1_1[[#This Row],[Total_Cost]]</f>
        <v>-1201170</v>
      </c>
      <c r="T153" s="9">
        <f>(Table1_1[[#This Row],[Total_Profit]]/Table1_1[[#This Row],[Total_Revenue]])</f>
        <v>-1.6672889776009705</v>
      </c>
      <c r="U153" s="5">
        <v>52</v>
      </c>
      <c r="V153" s="6" t="s">
        <v>18</v>
      </c>
      <c r="W153" s="8">
        <v>3.3</v>
      </c>
      <c r="X153" t="str" cm="1">
        <f t="array" ref="X153">_xlfn.IFS(Table1_1[[#This Row],[Customer_Rating]]&lt;3,"Poor",Table1_1[[#This Row],[Customer_Rating]]&lt;4,"Good",Table1_1[[#This Row],[Customer_Rating]]&gt;=4,"Excellent")</f>
        <v>Good</v>
      </c>
    </row>
    <row r="154" spans="1:24" x14ac:dyDescent="0.35">
      <c r="A154" s="2" t="s">
        <v>303</v>
      </c>
      <c r="B154" s="3">
        <v>45854</v>
      </c>
      <c r="C154" s="3" t="str">
        <f>TEXT(Table1_1[[#This Row],[Date]],"YYYY")</f>
        <v>2025</v>
      </c>
      <c r="D154" s="3" t="str">
        <f>TEXT(Table1_1[[#This Row],[Date]],"mmm")</f>
        <v>Jul</v>
      </c>
      <c r="E154" s="2" t="s">
        <v>16</v>
      </c>
      <c r="F154" s="2" t="str">
        <f>INDEX(IndiGo_Flight_Data!$R$2:$R$11,MATCH(Table1_1[[#This Row],[Route]],_xlfn.ANCHORARRAY(IndiGo_Flight_Data!$Q$2),0))</f>
        <v>Delhi - Goa</v>
      </c>
      <c r="G154" s="2" t="s">
        <v>43</v>
      </c>
      <c r="H154">
        <v>148</v>
      </c>
      <c r="I154">
        <v>232</v>
      </c>
      <c r="J154">
        <f>Table1_1[[#This Row],[Seat_Capacity]]-Table1_1[[#This Row],[Passengers]]</f>
        <v>84</v>
      </c>
      <c r="K154">
        <v>63.79</v>
      </c>
      <c r="L154" t="str" cm="1">
        <f t="array" ref="L154">_xlfn.IFS(Table1_1[[#This Row],[Load_Factor_%]]&lt;60,"Low",Table1_1[[#This Row],[Load_Factor_%]]&lt;85,"Intermediate",Table1_1[[#This Row],[Load_Factor_%]]&gt;=85,"High")</f>
        <v>Intermediate</v>
      </c>
      <c r="M154" s="4">
        <v>1016736</v>
      </c>
      <c r="N154" s="4">
        <v>32742</v>
      </c>
      <c r="O154" s="4">
        <f>SUM(Table1_1[[#This Row],[Ticket_Revenue_INR]:[Cargo_Revenue_INR]])</f>
        <v>1049478</v>
      </c>
      <c r="P154" s="4">
        <v>1150466</v>
      </c>
      <c r="Q154" s="4">
        <v>1410395</v>
      </c>
      <c r="R154" s="4">
        <f>SUM(Table1_1[[#This Row],[Fuel_Cost_INR]:[Operating_Cost_INR]])</f>
        <v>2560861</v>
      </c>
      <c r="S154" s="4">
        <f>Table1_1[[#This Row],[Total_Revenue]]-Table1_1[[#This Row],[Total_Cost]]</f>
        <v>-1511383</v>
      </c>
      <c r="T154" s="9">
        <f>(Table1_1[[#This Row],[Total_Profit]]/Table1_1[[#This Row],[Total_Revenue]])</f>
        <v>-1.4401283304652408</v>
      </c>
      <c r="U154" s="5">
        <v>87</v>
      </c>
      <c r="V154" s="6" t="s">
        <v>18</v>
      </c>
      <c r="W154" s="8">
        <v>4.4000000000000004</v>
      </c>
      <c r="X154" t="str" cm="1">
        <f t="array" ref="X154">_xlfn.IFS(Table1_1[[#This Row],[Customer_Rating]]&lt;3,"Poor",Table1_1[[#This Row],[Customer_Rating]]&lt;4,"Good",Table1_1[[#This Row],[Customer_Rating]]&gt;=4,"Excellent")</f>
        <v>Excellent</v>
      </c>
    </row>
    <row r="155" spans="1:24" x14ac:dyDescent="0.35">
      <c r="A155" s="2" t="s">
        <v>305</v>
      </c>
      <c r="B155" s="3">
        <v>45794</v>
      </c>
      <c r="C155" s="3" t="str">
        <f>TEXT(Table1_1[[#This Row],[Date]],"YYYY")</f>
        <v>2025</v>
      </c>
      <c r="D155" s="3" t="str">
        <f>TEXT(Table1_1[[#This Row],[Date]],"mmm")</f>
        <v>May</v>
      </c>
      <c r="E155" s="2" t="s">
        <v>59</v>
      </c>
      <c r="F155" s="2" t="str">
        <f>INDEX(IndiGo_Flight_Data!$R$2:$R$11,MATCH(Table1_1[[#This Row],[Route]],_xlfn.ANCHORARRAY(IndiGo_Flight_Data!$Q$2),0))</f>
        <v>Bengaluru - Bombay</v>
      </c>
      <c r="G155" s="2" t="s">
        <v>43</v>
      </c>
      <c r="H155">
        <v>179</v>
      </c>
      <c r="I155">
        <v>232</v>
      </c>
      <c r="J155">
        <f>Table1_1[[#This Row],[Seat_Capacity]]-Table1_1[[#This Row],[Passengers]]</f>
        <v>53</v>
      </c>
      <c r="K155">
        <v>77.16</v>
      </c>
      <c r="L155" t="str" cm="1">
        <f t="array" ref="L155">_xlfn.IFS(Table1_1[[#This Row],[Load_Factor_%]]&lt;60,"Low",Table1_1[[#This Row],[Load_Factor_%]]&lt;85,"Intermediate",Table1_1[[#This Row],[Load_Factor_%]]&gt;=85,"High")</f>
        <v>Intermediate</v>
      </c>
      <c r="M155" s="4">
        <v>821372</v>
      </c>
      <c r="N155" s="4">
        <v>132811</v>
      </c>
      <c r="O155" s="4">
        <f>SUM(Table1_1[[#This Row],[Ticket_Revenue_INR]:[Cargo_Revenue_INR]])</f>
        <v>954183</v>
      </c>
      <c r="P155" s="4">
        <v>351886</v>
      </c>
      <c r="Q155" s="4">
        <v>1007978</v>
      </c>
      <c r="R155" s="4">
        <f>SUM(Table1_1[[#This Row],[Fuel_Cost_INR]:[Operating_Cost_INR]])</f>
        <v>1359864</v>
      </c>
      <c r="S155" s="4">
        <f>Table1_1[[#This Row],[Total_Revenue]]-Table1_1[[#This Row],[Total_Cost]]</f>
        <v>-405681</v>
      </c>
      <c r="T155" s="9">
        <f>(Table1_1[[#This Row],[Total_Profit]]/Table1_1[[#This Row],[Total_Revenue]])</f>
        <v>-0.42516058240400428</v>
      </c>
      <c r="U155" s="5">
        <v>55</v>
      </c>
      <c r="V155" s="6" t="s">
        <v>18</v>
      </c>
      <c r="W155" s="8">
        <v>4.3</v>
      </c>
      <c r="X155" t="str" cm="1">
        <f t="array" ref="X155">_xlfn.IFS(Table1_1[[#This Row],[Customer_Rating]]&lt;3,"Poor",Table1_1[[#This Row],[Customer_Rating]]&lt;4,"Good",Table1_1[[#This Row],[Customer_Rating]]&gt;=4,"Excellent")</f>
        <v>Excellent</v>
      </c>
    </row>
    <row r="156" spans="1:24" x14ac:dyDescent="0.35">
      <c r="A156" s="2" t="s">
        <v>307</v>
      </c>
      <c r="B156" s="3">
        <v>45968</v>
      </c>
      <c r="C156" s="3" t="str">
        <f>TEXT(Table1_1[[#This Row],[Date]],"YYYY")</f>
        <v>2025</v>
      </c>
      <c r="D156" s="3" t="str">
        <f>TEXT(Table1_1[[#This Row],[Date]],"mmm")</f>
        <v>Nov</v>
      </c>
      <c r="E156" s="2" t="s">
        <v>21</v>
      </c>
      <c r="F156" s="2" t="str">
        <f>INDEX(IndiGo_Flight_Data!$R$2:$R$11,MATCH(Table1_1[[#This Row],[Route]],_xlfn.ANCHORARRAY(IndiGo_Flight_Data!$Q$2),0))</f>
        <v>Bengaluru - Hyderabad</v>
      </c>
      <c r="G156" s="2" t="s">
        <v>24</v>
      </c>
      <c r="H156">
        <v>146</v>
      </c>
      <c r="I156">
        <v>180</v>
      </c>
      <c r="J156">
        <f>Table1_1[[#This Row],[Seat_Capacity]]-Table1_1[[#This Row],[Passengers]]</f>
        <v>34</v>
      </c>
      <c r="K156">
        <v>81.11</v>
      </c>
      <c r="L156" t="str" cm="1">
        <f t="array" ref="L156">_xlfn.IFS(Table1_1[[#This Row],[Load_Factor_%]]&lt;60,"Low",Table1_1[[#This Row],[Load_Factor_%]]&lt;85,"Intermediate",Table1_1[[#This Row],[Load_Factor_%]]&gt;=85,"High")</f>
        <v>Intermediate</v>
      </c>
      <c r="M156" s="4">
        <v>960323</v>
      </c>
      <c r="N156" s="4">
        <v>119749</v>
      </c>
      <c r="O156" s="4">
        <f>SUM(Table1_1[[#This Row],[Ticket_Revenue_INR]:[Cargo_Revenue_INR]])</f>
        <v>1080072</v>
      </c>
      <c r="P156" s="4">
        <v>322586</v>
      </c>
      <c r="Q156" s="4">
        <v>768194</v>
      </c>
      <c r="R156" s="4">
        <f>SUM(Table1_1[[#This Row],[Fuel_Cost_INR]:[Operating_Cost_INR]])</f>
        <v>1090780</v>
      </c>
      <c r="S156" s="4">
        <f>Table1_1[[#This Row],[Total_Revenue]]-Table1_1[[#This Row],[Total_Cost]]</f>
        <v>-10708</v>
      </c>
      <c r="T156" s="9">
        <f>(Table1_1[[#This Row],[Total_Profit]]/Table1_1[[#This Row],[Total_Revenue]])</f>
        <v>-9.9141538712233992E-3</v>
      </c>
      <c r="U156" s="5">
        <v>9</v>
      </c>
      <c r="V156" s="6" t="s">
        <v>33</v>
      </c>
      <c r="W156" s="8">
        <v>4.3</v>
      </c>
      <c r="X156" t="str" cm="1">
        <f t="array" ref="X156">_xlfn.IFS(Table1_1[[#This Row],[Customer_Rating]]&lt;3,"Poor",Table1_1[[#This Row],[Customer_Rating]]&lt;4,"Good",Table1_1[[#This Row],[Customer_Rating]]&gt;=4,"Excellent")</f>
        <v>Excellent</v>
      </c>
    </row>
    <row r="157" spans="1:24" x14ac:dyDescent="0.35">
      <c r="A157" s="2" t="s">
        <v>309</v>
      </c>
      <c r="B157" s="3">
        <v>45899</v>
      </c>
      <c r="C157" s="3" t="str">
        <f>TEXT(Table1_1[[#This Row],[Date]],"YYYY")</f>
        <v>2025</v>
      </c>
      <c r="D157" s="3" t="str">
        <f>TEXT(Table1_1[[#This Row],[Date]],"mmm")</f>
        <v>Aug</v>
      </c>
      <c r="E157" s="2" t="s">
        <v>117</v>
      </c>
      <c r="F157" s="2" t="str">
        <f>INDEX(IndiGo_Flight_Data!$R$2:$R$11,MATCH(Table1_1[[#This Row],[Route]],_xlfn.ANCHORARRAY(IndiGo_Flight_Data!$Q$2),0))</f>
        <v>Bengaluru - Calacatta</v>
      </c>
      <c r="G157" s="2" t="s">
        <v>17</v>
      </c>
      <c r="H157">
        <v>71</v>
      </c>
      <c r="I157">
        <v>78</v>
      </c>
      <c r="J157">
        <f>Table1_1[[#This Row],[Seat_Capacity]]-Table1_1[[#This Row],[Passengers]]</f>
        <v>7</v>
      </c>
      <c r="K157">
        <v>91.03</v>
      </c>
      <c r="L157" t="str" cm="1">
        <f t="array" ref="L157">_xlfn.IFS(Table1_1[[#This Row],[Load_Factor_%]]&lt;60,"Low",Table1_1[[#This Row],[Load_Factor_%]]&lt;85,"Intermediate",Table1_1[[#This Row],[Load_Factor_%]]&gt;=85,"High")</f>
        <v>High</v>
      </c>
      <c r="M157" s="4">
        <v>296102</v>
      </c>
      <c r="N157" s="4">
        <v>55917</v>
      </c>
      <c r="O157" s="4">
        <f>SUM(Table1_1[[#This Row],[Ticket_Revenue_INR]:[Cargo_Revenue_INR]])</f>
        <v>352019</v>
      </c>
      <c r="P157" s="4">
        <v>409797</v>
      </c>
      <c r="Q157" s="4">
        <v>748250</v>
      </c>
      <c r="R157" s="4">
        <f>SUM(Table1_1[[#This Row],[Fuel_Cost_INR]:[Operating_Cost_INR]])</f>
        <v>1158047</v>
      </c>
      <c r="S157" s="4">
        <f>Table1_1[[#This Row],[Total_Revenue]]-Table1_1[[#This Row],[Total_Cost]]</f>
        <v>-806028</v>
      </c>
      <c r="T157" s="9">
        <f>(Table1_1[[#This Row],[Total_Profit]]/Table1_1[[#This Row],[Total_Revenue]])</f>
        <v>-2.2897286794178724</v>
      </c>
      <c r="U157" s="5">
        <v>58</v>
      </c>
      <c r="V157" s="6" t="s">
        <v>18</v>
      </c>
      <c r="W157" s="8">
        <v>3.2</v>
      </c>
      <c r="X157" t="str" cm="1">
        <f t="array" ref="X157">_xlfn.IFS(Table1_1[[#This Row],[Customer_Rating]]&lt;3,"Poor",Table1_1[[#This Row],[Customer_Rating]]&lt;4,"Good",Table1_1[[#This Row],[Customer_Rating]]&gt;=4,"Excellent")</f>
        <v>Good</v>
      </c>
    </row>
    <row r="158" spans="1:24" x14ac:dyDescent="0.35">
      <c r="A158" s="2" t="s">
        <v>311</v>
      </c>
      <c r="B158" s="3">
        <v>46005</v>
      </c>
      <c r="C158" s="3" t="str">
        <f>TEXT(Table1_1[[#This Row],[Date]],"YYYY")</f>
        <v>2025</v>
      </c>
      <c r="D158" s="3" t="str">
        <f>TEXT(Table1_1[[#This Row],[Date]],"mmm")</f>
        <v>Dec</v>
      </c>
      <c r="E158" s="2" t="s">
        <v>39</v>
      </c>
      <c r="F158" s="2" t="str">
        <f>INDEX(IndiGo_Flight_Data!$R$2:$R$11,MATCH(Table1_1[[#This Row],[Route]],_xlfn.ANCHORARRAY(IndiGo_Flight_Data!$Q$2),0))</f>
        <v>Bengaluru - Delhi</v>
      </c>
      <c r="G158" s="2" t="s">
        <v>43</v>
      </c>
      <c r="H158">
        <v>165</v>
      </c>
      <c r="I158">
        <v>232</v>
      </c>
      <c r="J158">
        <f>Table1_1[[#This Row],[Seat_Capacity]]-Table1_1[[#This Row],[Passengers]]</f>
        <v>67</v>
      </c>
      <c r="K158">
        <v>71.12</v>
      </c>
      <c r="L158" t="str" cm="1">
        <f t="array" ref="L158">_xlfn.IFS(Table1_1[[#This Row],[Load_Factor_%]]&lt;60,"Low",Table1_1[[#This Row],[Load_Factor_%]]&lt;85,"Intermediate",Table1_1[[#This Row],[Load_Factor_%]]&gt;=85,"High")</f>
        <v>Intermediate</v>
      </c>
      <c r="M158" s="4">
        <v>821538</v>
      </c>
      <c r="N158" s="4">
        <v>144010</v>
      </c>
      <c r="O158" s="4">
        <f>SUM(Table1_1[[#This Row],[Ticket_Revenue_INR]:[Cargo_Revenue_INR]])</f>
        <v>965548</v>
      </c>
      <c r="P158" s="4">
        <v>800506</v>
      </c>
      <c r="Q158" s="4">
        <v>1092552</v>
      </c>
      <c r="R158" s="4">
        <f>SUM(Table1_1[[#This Row],[Fuel_Cost_INR]:[Operating_Cost_INR]])</f>
        <v>1893058</v>
      </c>
      <c r="S158" s="4">
        <f>Table1_1[[#This Row],[Total_Revenue]]-Table1_1[[#This Row],[Total_Cost]]</f>
        <v>-927510</v>
      </c>
      <c r="T158" s="9">
        <f>(Table1_1[[#This Row],[Total_Profit]]/Table1_1[[#This Row],[Total_Revenue]])</f>
        <v>-0.96060475501994724</v>
      </c>
      <c r="U158" s="5">
        <v>67</v>
      </c>
      <c r="V158" s="6" t="s">
        <v>18</v>
      </c>
      <c r="W158" s="8">
        <v>4.0999999999999996</v>
      </c>
      <c r="X158" t="str" cm="1">
        <f t="array" ref="X158">_xlfn.IFS(Table1_1[[#This Row],[Customer_Rating]]&lt;3,"Poor",Table1_1[[#This Row],[Customer_Rating]]&lt;4,"Good",Table1_1[[#This Row],[Customer_Rating]]&gt;=4,"Excellent")</f>
        <v>Excellent</v>
      </c>
    </row>
    <row r="159" spans="1:24" x14ac:dyDescent="0.35">
      <c r="A159" s="2" t="s">
        <v>312</v>
      </c>
      <c r="B159" s="3">
        <v>45744</v>
      </c>
      <c r="C159" s="3" t="str">
        <f>TEXT(Table1_1[[#This Row],[Date]],"YYYY")</f>
        <v>2025</v>
      </c>
      <c r="D159" s="3" t="str">
        <f>TEXT(Table1_1[[#This Row],[Date]],"mmm")</f>
        <v>Mar</v>
      </c>
      <c r="E159" s="2" t="s">
        <v>29</v>
      </c>
      <c r="F159" s="2" t="str">
        <f>INDEX(IndiGo_Flight_Data!$R$2:$R$11,MATCH(Table1_1[[#This Row],[Route]],_xlfn.ANCHORARRAY(IndiGo_Flight_Data!$Q$2),0))</f>
        <v>Calacatta - Delhi</v>
      </c>
      <c r="G159" s="2" t="s">
        <v>43</v>
      </c>
      <c r="H159">
        <v>164</v>
      </c>
      <c r="I159">
        <v>232</v>
      </c>
      <c r="J159">
        <f>Table1_1[[#This Row],[Seat_Capacity]]-Table1_1[[#This Row],[Passengers]]</f>
        <v>68</v>
      </c>
      <c r="K159">
        <v>70.69</v>
      </c>
      <c r="L159" t="str" cm="1">
        <f t="array" ref="L159">_xlfn.IFS(Table1_1[[#This Row],[Load_Factor_%]]&lt;60,"Low",Table1_1[[#This Row],[Load_Factor_%]]&lt;85,"Intermediate",Table1_1[[#This Row],[Load_Factor_%]]&gt;=85,"High")</f>
        <v>Intermediate</v>
      </c>
      <c r="M159" s="4">
        <v>904996</v>
      </c>
      <c r="N159" s="4">
        <v>26708</v>
      </c>
      <c r="O159" s="4">
        <f>SUM(Table1_1[[#This Row],[Ticket_Revenue_INR]:[Cargo_Revenue_INR]])</f>
        <v>931704</v>
      </c>
      <c r="P159" s="4">
        <v>854149</v>
      </c>
      <c r="Q159" s="4">
        <v>969115</v>
      </c>
      <c r="R159" s="4">
        <f>SUM(Table1_1[[#This Row],[Fuel_Cost_INR]:[Operating_Cost_INR]])</f>
        <v>1823264</v>
      </c>
      <c r="S159" s="4">
        <f>Table1_1[[#This Row],[Total_Revenue]]-Table1_1[[#This Row],[Total_Cost]]</f>
        <v>-891560</v>
      </c>
      <c r="T159" s="9">
        <f>(Table1_1[[#This Row],[Total_Profit]]/Table1_1[[#This Row],[Total_Revenue]])</f>
        <v>-0.95691335445592163</v>
      </c>
      <c r="U159" s="5">
        <v>46</v>
      </c>
      <c r="V159" s="6" t="s">
        <v>18</v>
      </c>
      <c r="W159" s="8">
        <v>4.5</v>
      </c>
      <c r="X159" t="str" cm="1">
        <f t="array" ref="X159">_xlfn.IFS(Table1_1[[#This Row],[Customer_Rating]]&lt;3,"Poor",Table1_1[[#This Row],[Customer_Rating]]&lt;4,"Good",Table1_1[[#This Row],[Customer_Rating]]&gt;=4,"Excellent")</f>
        <v>Excellent</v>
      </c>
    </row>
    <row r="160" spans="1:24" x14ac:dyDescent="0.35">
      <c r="A160" s="2" t="s">
        <v>314</v>
      </c>
      <c r="B160" s="3">
        <v>45666</v>
      </c>
      <c r="C160" s="3" t="str">
        <f>TEXT(Table1_1[[#This Row],[Date]],"YYYY")</f>
        <v>2025</v>
      </c>
      <c r="D160" s="3" t="str">
        <f>TEXT(Table1_1[[#This Row],[Date]],"mmm")</f>
        <v>Jan</v>
      </c>
      <c r="E160" s="2" t="s">
        <v>29</v>
      </c>
      <c r="F160" s="2" t="str">
        <f>INDEX(IndiGo_Flight_Data!$R$2:$R$11,MATCH(Table1_1[[#This Row],[Route]],_xlfn.ANCHORARRAY(IndiGo_Flight_Data!$Q$2),0))</f>
        <v>Calacatta - Delhi</v>
      </c>
      <c r="G160" s="2" t="s">
        <v>17</v>
      </c>
      <c r="H160">
        <v>64</v>
      </c>
      <c r="I160">
        <v>78</v>
      </c>
      <c r="J160">
        <f>Table1_1[[#This Row],[Seat_Capacity]]-Table1_1[[#This Row],[Passengers]]</f>
        <v>14</v>
      </c>
      <c r="K160">
        <v>82.05</v>
      </c>
      <c r="L160" t="str" cm="1">
        <f t="array" ref="L160">_xlfn.IFS(Table1_1[[#This Row],[Load_Factor_%]]&lt;60,"Low",Table1_1[[#This Row],[Load_Factor_%]]&lt;85,"Intermediate",Table1_1[[#This Row],[Load_Factor_%]]&gt;=85,"High")</f>
        <v>Intermediate</v>
      </c>
      <c r="M160" s="4">
        <v>246410</v>
      </c>
      <c r="N160" s="4">
        <v>80399</v>
      </c>
      <c r="O160" s="4">
        <f>SUM(Table1_1[[#This Row],[Ticket_Revenue_INR]:[Cargo_Revenue_INR]])</f>
        <v>326809</v>
      </c>
      <c r="P160" s="4">
        <v>558448</v>
      </c>
      <c r="Q160" s="4">
        <v>662085</v>
      </c>
      <c r="R160" s="4">
        <f>SUM(Table1_1[[#This Row],[Fuel_Cost_INR]:[Operating_Cost_INR]])</f>
        <v>1220533</v>
      </c>
      <c r="S160" s="4">
        <f>Table1_1[[#This Row],[Total_Revenue]]-Table1_1[[#This Row],[Total_Cost]]</f>
        <v>-893724</v>
      </c>
      <c r="T160" s="9">
        <f>(Table1_1[[#This Row],[Total_Profit]]/Table1_1[[#This Row],[Total_Revenue]])</f>
        <v>-2.7346982488242366</v>
      </c>
      <c r="U160" s="5">
        <v>34</v>
      </c>
      <c r="V160" s="6" t="s">
        <v>18</v>
      </c>
      <c r="W160" s="8">
        <v>3.4</v>
      </c>
      <c r="X160" t="str" cm="1">
        <f t="array" ref="X160">_xlfn.IFS(Table1_1[[#This Row],[Customer_Rating]]&lt;3,"Poor",Table1_1[[#This Row],[Customer_Rating]]&lt;4,"Good",Table1_1[[#This Row],[Customer_Rating]]&gt;=4,"Excellent")</f>
        <v>Good</v>
      </c>
    </row>
    <row r="161" spans="1:24" x14ac:dyDescent="0.35">
      <c r="A161" s="2" t="s">
        <v>316</v>
      </c>
      <c r="B161" s="3">
        <v>45884</v>
      </c>
      <c r="C161" s="3" t="str">
        <f>TEXT(Table1_1[[#This Row],[Date]],"YYYY")</f>
        <v>2025</v>
      </c>
      <c r="D161" s="3" t="str">
        <f>TEXT(Table1_1[[#This Row],[Date]],"mmm")</f>
        <v>Aug</v>
      </c>
      <c r="E161" s="2" t="s">
        <v>76</v>
      </c>
      <c r="F161" s="2" t="str">
        <f>INDEX(IndiGo_Flight_Data!$R$2:$R$11,MATCH(Table1_1[[#This Row],[Route]],_xlfn.ANCHORARRAY(IndiGo_Flight_Data!$Q$2),0))</f>
        <v>Madras - Delhi</v>
      </c>
      <c r="G161" s="2" t="s">
        <v>43</v>
      </c>
      <c r="H161">
        <v>152</v>
      </c>
      <c r="I161">
        <v>232</v>
      </c>
      <c r="J161">
        <f>Table1_1[[#This Row],[Seat_Capacity]]-Table1_1[[#This Row],[Passengers]]</f>
        <v>80</v>
      </c>
      <c r="K161">
        <v>65.52</v>
      </c>
      <c r="L161" t="str" cm="1">
        <f t="array" ref="L161">_xlfn.IFS(Table1_1[[#This Row],[Load_Factor_%]]&lt;60,"Low",Table1_1[[#This Row],[Load_Factor_%]]&lt;85,"Intermediate",Table1_1[[#This Row],[Load_Factor_%]]&gt;=85,"High")</f>
        <v>Intermediate</v>
      </c>
      <c r="M161" s="4">
        <v>872741</v>
      </c>
      <c r="N161" s="4">
        <v>99367</v>
      </c>
      <c r="O161" s="4">
        <f>SUM(Table1_1[[#This Row],[Ticket_Revenue_INR]:[Cargo_Revenue_INR]])</f>
        <v>972108</v>
      </c>
      <c r="P161" s="4">
        <v>358426</v>
      </c>
      <c r="Q161" s="4">
        <v>798551</v>
      </c>
      <c r="R161" s="4">
        <f>SUM(Table1_1[[#This Row],[Fuel_Cost_INR]:[Operating_Cost_INR]])</f>
        <v>1156977</v>
      </c>
      <c r="S161" s="4">
        <f>Table1_1[[#This Row],[Total_Revenue]]-Table1_1[[#This Row],[Total_Cost]]</f>
        <v>-184869</v>
      </c>
      <c r="T161" s="9">
        <f>(Table1_1[[#This Row],[Total_Profit]]/Table1_1[[#This Row],[Total_Revenue]])</f>
        <v>-0.19017331407621377</v>
      </c>
      <c r="U161" s="5">
        <v>80</v>
      </c>
      <c r="V161" s="6" t="s">
        <v>18</v>
      </c>
      <c r="W161" s="8">
        <v>3.4</v>
      </c>
      <c r="X161" t="str" cm="1">
        <f t="array" ref="X161">_xlfn.IFS(Table1_1[[#This Row],[Customer_Rating]]&lt;3,"Poor",Table1_1[[#This Row],[Customer_Rating]]&lt;4,"Good",Table1_1[[#This Row],[Customer_Rating]]&gt;=4,"Excellent")</f>
        <v>Good</v>
      </c>
    </row>
    <row r="162" spans="1:24" x14ac:dyDescent="0.35">
      <c r="A162" s="2" t="s">
        <v>318</v>
      </c>
      <c r="B162" s="3">
        <v>45677</v>
      </c>
      <c r="C162" s="3" t="str">
        <f>TEXT(Table1_1[[#This Row],[Date]],"YYYY")</f>
        <v>2025</v>
      </c>
      <c r="D162" s="3" t="str">
        <f>TEXT(Table1_1[[#This Row],[Date]],"mmm")</f>
        <v>Jan</v>
      </c>
      <c r="E162" s="2" t="s">
        <v>76</v>
      </c>
      <c r="F162" s="2" t="str">
        <f>INDEX(IndiGo_Flight_Data!$R$2:$R$11,MATCH(Table1_1[[#This Row],[Route]],_xlfn.ANCHORARRAY(IndiGo_Flight_Data!$Q$2),0))</f>
        <v>Madras - Delhi</v>
      </c>
      <c r="G162" s="2" t="s">
        <v>24</v>
      </c>
      <c r="H162">
        <v>142</v>
      </c>
      <c r="I162">
        <v>180</v>
      </c>
      <c r="J162">
        <f>Table1_1[[#This Row],[Seat_Capacity]]-Table1_1[[#This Row],[Passengers]]</f>
        <v>38</v>
      </c>
      <c r="K162">
        <v>78.89</v>
      </c>
      <c r="L162" t="str" cm="1">
        <f t="array" ref="L162">_xlfn.IFS(Table1_1[[#This Row],[Load_Factor_%]]&lt;60,"Low",Table1_1[[#This Row],[Load_Factor_%]]&lt;85,"Intermediate",Table1_1[[#This Row],[Load_Factor_%]]&gt;=85,"High")</f>
        <v>Intermediate</v>
      </c>
      <c r="M162" s="4">
        <v>1107217</v>
      </c>
      <c r="N162" s="4">
        <v>56959</v>
      </c>
      <c r="O162" s="4">
        <f>SUM(Table1_1[[#This Row],[Ticket_Revenue_INR]:[Cargo_Revenue_INR]])</f>
        <v>1164176</v>
      </c>
      <c r="P162" s="4">
        <v>1030123</v>
      </c>
      <c r="Q162" s="4">
        <v>1137832</v>
      </c>
      <c r="R162" s="4">
        <f>SUM(Table1_1[[#This Row],[Fuel_Cost_INR]:[Operating_Cost_INR]])</f>
        <v>2167955</v>
      </c>
      <c r="S162" s="4">
        <f>Table1_1[[#This Row],[Total_Revenue]]-Table1_1[[#This Row],[Total_Cost]]</f>
        <v>-1003779</v>
      </c>
      <c r="T162" s="9">
        <f>(Table1_1[[#This Row],[Total_Profit]]/Table1_1[[#This Row],[Total_Revenue]])</f>
        <v>-0.86222272233751596</v>
      </c>
      <c r="U162" s="5">
        <v>71</v>
      </c>
      <c r="V162" s="6" t="s">
        <v>18</v>
      </c>
      <c r="W162" s="8">
        <v>4.0999999999999996</v>
      </c>
      <c r="X162" t="str" cm="1">
        <f t="array" ref="X162">_xlfn.IFS(Table1_1[[#This Row],[Customer_Rating]]&lt;3,"Poor",Table1_1[[#This Row],[Customer_Rating]]&lt;4,"Good",Table1_1[[#This Row],[Customer_Rating]]&gt;=4,"Excellent")</f>
        <v>Excellent</v>
      </c>
    </row>
    <row r="163" spans="1:24" x14ac:dyDescent="0.35">
      <c r="A163" s="2" t="s">
        <v>320</v>
      </c>
      <c r="B163" s="3">
        <v>45813</v>
      </c>
      <c r="C163" s="3" t="str">
        <f>TEXT(Table1_1[[#This Row],[Date]],"YYYY")</f>
        <v>2025</v>
      </c>
      <c r="D163" s="3" t="str">
        <f>TEXT(Table1_1[[#This Row],[Date]],"mmm")</f>
        <v>Jun</v>
      </c>
      <c r="E163" s="2" t="s">
        <v>59</v>
      </c>
      <c r="F163" s="2" t="str">
        <f>INDEX(IndiGo_Flight_Data!$R$2:$R$11,MATCH(Table1_1[[#This Row],[Route]],_xlfn.ANCHORARRAY(IndiGo_Flight_Data!$Q$2),0))</f>
        <v>Bengaluru - Bombay</v>
      </c>
      <c r="G163" s="2" t="s">
        <v>43</v>
      </c>
      <c r="H163">
        <v>193</v>
      </c>
      <c r="I163">
        <v>232</v>
      </c>
      <c r="J163">
        <f>Table1_1[[#This Row],[Seat_Capacity]]-Table1_1[[#This Row],[Passengers]]</f>
        <v>39</v>
      </c>
      <c r="K163">
        <v>83.19</v>
      </c>
      <c r="L163" t="str" cm="1">
        <f t="array" ref="L163">_xlfn.IFS(Table1_1[[#This Row],[Load_Factor_%]]&lt;60,"Low",Table1_1[[#This Row],[Load_Factor_%]]&lt;85,"Intermediate",Table1_1[[#This Row],[Load_Factor_%]]&gt;=85,"High")</f>
        <v>Intermediate</v>
      </c>
      <c r="M163" s="4">
        <v>725360</v>
      </c>
      <c r="N163" s="4">
        <v>59936</v>
      </c>
      <c r="O163" s="4">
        <f>SUM(Table1_1[[#This Row],[Ticket_Revenue_INR]:[Cargo_Revenue_INR]])</f>
        <v>785296</v>
      </c>
      <c r="P163" s="4">
        <v>401826</v>
      </c>
      <c r="Q163" s="4">
        <v>1060428</v>
      </c>
      <c r="R163" s="4">
        <f>SUM(Table1_1[[#This Row],[Fuel_Cost_INR]:[Operating_Cost_INR]])</f>
        <v>1462254</v>
      </c>
      <c r="S163" s="4">
        <f>Table1_1[[#This Row],[Total_Revenue]]-Table1_1[[#This Row],[Total_Cost]]</f>
        <v>-676958</v>
      </c>
      <c r="T163" s="9">
        <f>(Table1_1[[#This Row],[Total_Profit]]/Table1_1[[#This Row],[Total_Revenue]])</f>
        <v>-0.86204182881359381</v>
      </c>
      <c r="U163" s="5">
        <v>42</v>
      </c>
      <c r="V163" s="6" t="s">
        <v>18</v>
      </c>
      <c r="W163" s="8">
        <v>3.5</v>
      </c>
      <c r="X163" t="str" cm="1">
        <f t="array" ref="X163">_xlfn.IFS(Table1_1[[#This Row],[Customer_Rating]]&lt;3,"Poor",Table1_1[[#This Row],[Customer_Rating]]&lt;4,"Good",Table1_1[[#This Row],[Customer_Rating]]&gt;=4,"Excellent")</f>
        <v>Good</v>
      </c>
    </row>
    <row r="164" spans="1:24" x14ac:dyDescent="0.35">
      <c r="A164" s="2" t="s">
        <v>322</v>
      </c>
      <c r="B164" s="3">
        <v>45815</v>
      </c>
      <c r="C164" s="3" t="str">
        <f>TEXT(Table1_1[[#This Row],[Date]],"YYYY")</f>
        <v>2025</v>
      </c>
      <c r="D164" s="3" t="str">
        <f>TEXT(Table1_1[[#This Row],[Date]],"mmm")</f>
        <v>Jun</v>
      </c>
      <c r="E164" s="2" t="s">
        <v>117</v>
      </c>
      <c r="F164" s="2" t="str">
        <f>INDEX(IndiGo_Flight_Data!$R$2:$R$11,MATCH(Table1_1[[#This Row],[Route]],_xlfn.ANCHORARRAY(IndiGo_Flight_Data!$Q$2),0))</f>
        <v>Bengaluru - Calacatta</v>
      </c>
      <c r="G164" s="2" t="s">
        <v>24</v>
      </c>
      <c r="H164">
        <v>166</v>
      </c>
      <c r="I164">
        <v>180</v>
      </c>
      <c r="J164">
        <f>Table1_1[[#This Row],[Seat_Capacity]]-Table1_1[[#This Row],[Passengers]]</f>
        <v>14</v>
      </c>
      <c r="K164">
        <v>92.22</v>
      </c>
      <c r="L164" t="str" cm="1">
        <f t="array" ref="L164">_xlfn.IFS(Table1_1[[#This Row],[Load_Factor_%]]&lt;60,"Low",Table1_1[[#This Row],[Load_Factor_%]]&lt;85,"Intermediate",Table1_1[[#This Row],[Load_Factor_%]]&gt;=85,"High")</f>
        <v>High</v>
      </c>
      <c r="M164" s="4">
        <v>754571</v>
      </c>
      <c r="N164" s="4">
        <v>102524</v>
      </c>
      <c r="O164" s="4">
        <f>SUM(Table1_1[[#This Row],[Ticket_Revenue_INR]:[Cargo_Revenue_INR]])</f>
        <v>857095</v>
      </c>
      <c r="P164" s="4">
        <v>276737</v>
      </c>
      <c r="Q164" s="4">
        <v>537091</v>
      </c>
      <c r="R164" s="4">
        <f>SUM(Table1_1[[#This Row],[Fuel_Cost_INR]:[Operating_Cost_INR]])</f>
        <v>813828</v>
      </c>
      <c r="S164" s="4">
        <f>Table1_1[[#This Row],[Total_Revenue]]-Table1_1[[#This Row],[Total_Cost]]</f>
        <v>43267</v>
      </c>
      <c r="T164" s="9">
        <f>(Table1_1[[#This Row],[Total_Profit]]/Table1_1[[#This Row],[Total_Revenue]])</f>
        <v>5.0480985188339683E-2</v>
      </c>
      <c r="U164" s="5">
        <v>76</v>
      </c>
      <c r="V164" s="6" t="s">
        <v>18</v>
      </c>
      <c r="W164" s="8">
        <v>3.5</v>
      </c>
      <c r="X164" t="str" cm="1">
        <f t="array" ref="X164">_xlfn.IFS(Table1_1[[#This Row],[Customer_Rating]]&lt;3,"Poor",Table1_1[[#This Row],[Customer_Rating]]&lt;4,"Good",Table1_1[[#This Row],[Customer_Rating]]&gt;=4,"Excellent")</f>
        <v>Good</v>
      </c>
    </row>
    <row r="165" spans="1:24" x14ac:dyDescent="0.35">
      <c r="A165" s="2" t="s">
        <v>324</v>
      </c>
      <c r="B165" s="3">
        <v>45752</v>
      </c>
      <c r="C165" s="3" t="str">
        <f>TEXT(Table1_1[[#This Row],[Date]],"YYYY")</f>
        <v>2025</v>
      </c>
      <c r="D165" s="3" t="str">
        <f>TEXT(Table1_1[[#This Row],[Date]],"mmm")</f>
        <v>Apr</v>
      </c>
      <c r="E165" s="2" t="s">
        <v>59</v>
      </c>
      <c r="F165" s="2" t="str">
        <f>INDEX(IndiGo_Flight_Data!$R$2:$R$11,MATCH(Table1_1[[#This Row],[Route]],_xlfn.ANCHORARRAY(IndiGo_Flight_Data!$Q$2),0))</f>
        <v>Bengaluru - Bombay</v>
      </c>
      <c r="G165" s="2" t="s">
        <v>43</v>
      </c>
      <c r="H165">
        <v>147</v>
      </c>
      <c r="I165">
        <v>232</v>
      </c>
      <c r="J165">
        <f>Table1_1[[#This Row],[Seat_Capacity]]-Table1_1[[#This Row],[Passengers]]</f>
        <v>85</v>
      </c>
      <c r="K165">
        <v>63.36</v>
      </c>
      <c r="L165" t="str" cm="1">
        <f t="array" ref="L165">_xlfn.IFS(Table1_1[[#This Row],[Load_Factor_%]]&lt;60,"Low",Table1_1[[#This Row],[Load_Factor_%]]&lt;85,"Intermediate",Table1_1[[#This Row],[Load_Factor_%]]&gt;=85,"High")</f>
        <v>Intermediate</v>
      </c>
      <c r="M165" s="4">
        <v>704088</v>
      </c>
      <c r="N165" s="4">
        <v>56656</v>
      </c>
      <c r="O165" s="4">
        <f>SUM(Table1_1[[#This Row],[Ticket_Revenue_INR]:[Cargo_Revenue_INR]])</f>
        <v>760744</v>
      </c>
      <c r="P165" s="4">
        <v>1083469</v>
      </c>
      <c r="Q165" s="4">
        <v>1270960</v>
      </c>
      <c r="R165" s="4">
        <f>SUM(Table1_1[[#This Row],[Fuel_Cost_INR]:[Operating_Cost_INR]])</f>
        <v>2354429</v>
      </c>
      <c r="S165" s="4">
        <f>Table1_1[[#This Row],[Total_Revenue]]-Table1_1[[#This Row],[Total_Cost]]</f>
        <v>-1593685</v>
      </c>
      <c r="T165" s="9">
        <f>(Table1_1[[#This Row],[Total_Profit]]/Table1_1[[#This Row],[Total_Revenue]])</f>
        <v>-2.0949031474451325</v>
      </c>
      <c r="U165" s="5">
        <v>62</v>
      </c>
      <c r="V165" s="6" t="s">
        <v>18</v>
      </c>
      <c r="W165" s="8">
        <v>4.9000000000000004</v>
      </c>
      <c r="X165" t="str" cm="1">
        <f t="array" ref="X165">_xlfn.IFS(Table1_1[[#This Row],[Customer_Rating]]&lt;3,"Poor",Table1_1[[#This Row],[Customer_Rating]]&lt;4,"Good",Table1_1[[#This Row],[Customer_Rating]]&gt;=4,"Excellent")</f>
        <v>Excellent</v>
      </c>
    </row>
    <row r="166" spans="1:24" x14ac:dyDescent="0.35">
      <c r="A166" s="2" t="s">
        <v>326</v>
      </c>
      <c r="B166" s="3">
        <v>45822</v>
      </c>
      <c r="C166" s="3" t="str">
        <f>TEXT(Table1_1[[#This Row],[Date]],"YYYY")</f>
        <v>2025</v>
      </c>
      <c r="D166" s="3" t="str">
        <f>TEXT(Table1_1[[#This Row],[Date]],"mmm")</f>
        <v>Jun</v>
      </c>
      <c r="E166" s="2" t="s">
        <v>36</v>
      </c>
      <c r="F166" s="2" t="str">
        <f>INDEX(IndiGo_Flight_Data!$R$2:$R$11,MATCH(Table1_1[[#This Row],[Route]],_xlfn.ANCHORARRAY(IndiGo_Flight_Data!$Q$2),0))</f>
        <v>Delhi - Bombay</v>
      </c>
      <c r="G166" s="2" t="s">
        <v>17</v>
      </c>
      <c r="H166">
        <v>57</v>
      </c>
      <c r="I166">
        <v>78</v>
      </c>
      <c r="J166">
        <f>Table1_1[[#This Row],[Seat_Capacity]]-Table1_1[[#This Row],[Passengers]]</f>
        <v>21</v>
      </c>
      <c r="K166">
        <v>73.08</v>
      </c>
      <c r="L166" t="str" cm="1">
        <f t="array" ref="L166">_xlfn.IFS(Table1_1[[#This Row],[Load_Factor_%]]&lt;60,"Low",Table1_1[[#This Row],[Load_Factor_%]]&lt;85,"Intermediate",Table1_1[[#This Row],[Load_Factor_%]]&gt;=85,"High")</f>
        <v>Intermediate</v>
      </c>
      <c r="M166" s="4">
        <v>369705</v>
      </c>
      <c r="N166" s="4">
        <v>144960</v>
      </c>
      <c r="O166" s="4">
        <f>SUM(Table1_1[[#This Row],[Ticket_Revenue_INR]:[Cargo_Revenue_INR]])</f>
        <v>514665</v>
      </c>
      <c r="P166" s="4">
        <v>331237</v>
      </c>
      <c r="Q166" s="4">
        <v>465752</v>
      </c>
      <c r="R166" s="4">
        <f>SUM(Table1_1[[#This Row],[Fuel_Cost_INR]:[Operating_Cost_INR]])</f>
        <v>796989</v>
      </c>
      <c r="S166" s="4">
        <f>Table1_1[[#This Row],[Total_Revenue]]-Table1_1[[#This Row],[Total_Cost]]</f>
        <v>-282324</v>
      </c>
      <c r="T166" s="9">
        <f>(Table1_1[[#This Row],[Total_Profit]]/Table1_1[[#This Row],[Total_Revenue]])</f>
        <v>-0.54855877123954422</v>
      </c>
      <c r="U166" s="5">
        <v>57</v>
      </c>
      <c r="V166" s="6" t="s">
        <v>18</v>
      </c>
      <c r="W166" s="8">
        <v>4.2</v>
      </c>
      <c r="X166" t="str" cm="1">
        <f t="array" ref="X166">_xlfn.IFS(Table1_1[[#This Row],[Customer_Rating]]&lt;3,"Poor",Table1_1[[#This Row],[Customer_Rating]]&lt;4,"Good",Table1_1[[#This Row],[Customer_Rating]]&gt;=4,"Excellent")</f>
        <v>Excellent</v>
      </c>
    </row>
    <row r="167" spans="1:24" x14ac:dyDescent="0.35">
      <c r="A167" s="2" t="s">
        <v>327</v>
      </c>
      <c r="B167" s="3">
        <v>45739</v>
      </c>
      <c r="C167" s="3" t="str">
        <f>TEXT(Table1_1[[#This Row],[Date]],"YYYY")</f>
        <v>2025</v>
      </c>
      <c r="D167" s="3" t="str">
        <f>TEXT(Table1_1[[#This Row],[Date]],"mmm")</f>
        <v>Mar</v>
      </c>
      <c r="E167" s="2" t="s">
        <v>42</v>
      </c>
      <c r="F167" s="2" t="str">
        <f>INDEX(IndiGo_Flight_Data!$R$2:$R$11,MATCH(Table1_1[[#This Row],[Route]],_xlfn.ANCHORARRAY(IndiGo_Flight_Data!$Q$2),0))</f>
        <v>Bombay - Hyderabad</v>
      </c>
      <c r="G167" s="2" t="s">
        <v>24</v>
      </c>
      <c r="H167">
        <v>135</v>
      </c>
      <c r="I167">
        <v>180</v>
      </c>
      <c r="J167">
        <f>Table1_1[[#This Row],[Seat_Capacity]]-Table1_1[[#This Row],[Passengers]]</f>
        <v>45</v>
      </c>
      <c r="K167">
        <v>75</v>
      </c>
      <c r="L167" t="str" cm="1">
        <f t="array" ref="L167">_xlfn.IFS(Table1_1[[#This Row],[Load_Factor_%]]&lt;60,"Low",Table1_1[[#This Row],[Load_Factor_%]]&lt;85,"Intermediate",Table1_1[[#This Row],[Load_Factor_%]]&gt;=85,"High")</f>
        <v>Intermediate</v>
      </c>
      <c r="M167" s="4">
        <v>685796</v>
      </c>
      <c r="N167" s="4">
        <v>71487</v>
      </c>
      <c r="O167" s="4">
        <f>SUM(Table1_1[[#This Row],[Ticket_Revenue_INR]:[Cargo_Revenue_INR]])</f>
        <v>757283</v>
      </c>
      <c r="P167" s="4">
        <v>461219</v>
      </c>
      <c r="Q167" s="4">
        <v>741805</v>
      </c>
      <c r="R167" s="4">
        <f>SUM(Table1_1[[#This Row],[Fuel_Cost_INR]:[Operating_Cost_INR]])</f>
        <v>1203024</v>
      </c>
      <c r="S167" s="4">
        <f>Table1_1[[#This Row],[Total_Revenue]]-Table1_1[[#This Row],[Total_Cost]]</f>
        <v>-445741</v>
      </c>
      <c r="T167" s="9">
        <f>(Table1_1[[#This Row],[Total_Profit]]/Table1_1[[#This Row],[Total_Revenue]])</f>
        <v>-0.58860558074062141</v>
      </c>
      <c r="U167" s="5">
        <v>20</v>
      </c>
      <c r="V167" s="6" t="s">
        <v>18</v>
      </c>
      <c r="W167" s="8">
        <v>3.7</v>
      </c>
      <c r="X167" t="str" cm="1">
        <f t="array" ref="X167">_xlfn.IFS(Table1_1[[#This Row],[Customer_Rating]]&lt;3,"Poor",Table1_1[[#This Row],[Customer_Rating]]&lt;4,"Good",Table1_1[[#This Row],[Customer_Rating]]&gt;=4,"Excellent")</f>
        <v>Good</v>
      </c>
    </row>
    <row r="168" spans="1:24" x14ac:dyDescent="0.35">
      <c r="A168" s="2" t="s">
        <v>329</v>
      </c>
      <c r="B168" s="3">
        <v>45845</v>
      </c>
      <c r="C168" s="3" t="str">
        <f>TEXT(Table1_1[[#This Row],[Date]],"YYYY")</f>
        <v>2025</v>
      </c>
      <c r="D168" s="3" t="str">
        <f>TEXT(Table1_1[[#This Row],[Date]],"mmm")</f>
        <v>Jul</v>
      </c>
      <c r="E168" s="2" t="s">
        <v>76</v>
      </c>
      <c r="F168" s="2" t="str">
        <f>INDEX(IndiGo_Flight_Data!$R$2:$R$11,MATCH(Table1_1[[#This Row],[Route]],_xlfn.ANCHORARRAY(IndiGo_Flight_Data!$Q$2),0))</f>
        <v>Madras - Delhi</v>
      </c>
      <c r="G168" s="2" t="s">
        <v>43</v>
      </c>
      <c r="H168">
        <v>149</v>
      </c>
      <c r="I168">
        <v>232</v>
      </c>
      <c r="J168">
        <f>Table1_1[[#This Row],[Seat_Capacity]]-Table1_1[[#This Row],[Passengers]]</f>
        <v>83</v>
      </c>
      <c r="K168">
        <v>64.22</v>
      </c>
      <c r="L168" t="str" cm="1">
        <f t="array" ref="L168">_xlfn.IFS(Table1_1[[#This Row],[Load_Factor_%]]&lt;60,"Low",Table1_1[[#This Row],[Load_Factor_%]]&lt;85,"Intermediate",Table1_1[[#This Row],[Load_Factor_%]]&gt;=85,"High")</f>
        <v>Intermediate</v>
      </c>
      <c r="M168" s="4">
        <v>1129065</v>
      </c>
      <c r="N168" s="4">
        <v>55771</v>
      </c>
      <c r="O168" s="4">
        <f>SUM(Table1_1[[#This Row],[Ticket_Revenue_INR]:[Cargo_Revenue_INR]])</f>
        <v>1184836</v>
      </c>
      <c r="P168" s="4">
        <v>746197</v>
      </c>
      <c r="Q168" s="4">
        <v>1062057</v>
      </c>
      <c r="R168" s="4">
        <f>SUM(Table1_1[[#This Row],[Fuel_Cost_INR]:[Operating_Cost_INR]])</f>
        <v>1808254</v>
      </c>
      <c r="S168" s="4">
        <f>Table1_1[[#This Row],[Total_Revenue]]-Table1_1[[#This Row],[Total_Cost]]</f>
        <v>-623418</v>
      </c>
      <c r="T168" s="9">
        <f>(Table1_1[[#This Row],[Total_Profit]]/Table1_1[[#This Row],[Total_Revenue]])</f>
        <v>-0.52616395855628961</v>
      </c>
      <c r="U168" s="5">
        <v>51</v>
      </c>
      <c r="V168" s="6" t="s">
        <v>18</v>
      </c>
      <c r="W168" s="8">
        <v>3.9</v>
      </c>
      <c r="X168" t="str" cm="1">
        <f t="array" ref="X168">_xlfn.IFS(Table1_1[[#This Row],[Customer_Rating]]&lt;3,"Poor",Table1_1[[#This Row],[Customer_Rating]]&lt;4,"Good",Table1_1[[#This Row],[Customer_Rating]]&gt;=4,"Excellent")</f>
        <v>Good</v>
      </c>
    </row>
    <row r="169" spans="1:24" x14ac:dyDescent="0.35">
      <c r="A169" s="2" t="s">
        <v>330</v>
      </c>
      <c r="B169" s="3">
        <v>45959</v>
      </c>
      <c r="C169" s="3" t="str">
        <f>TEXT(Table1_1[[#This Row],[Date]],"YYYY")</f>
        <v>2025</v>
      </c>
      <c r="D169" s="3" t="str">
        <f>TEXT(Table1_1[[#This Row],[Date]],"mmm")</f>
        <v>Oct</v>
      </c>
      <c r="E169" s="2" t="s">
        <v>16</v>
      </c>
      <c r="F169" s="2" t="str">
        <f>INDEX(IndiGo_Flight_Data!$R$2:$R$11,MATCH(Table1_1[[#This Row],[Route]],_xlfn.ANCHORARRAY(IndiGo_Flight_Data!$Q$2),0))</f>
        <v>Delhi - Goa</v>
      </c>
      <c r="G169" s="2" t="s">
        <v>24</v>
      </c>
      <c r="H169">
        <v>125</v>
      </c>
      <c r="I169">
        <v>180</v>
      </c>
      <c r="J169">
        <f>Table1_1[[#This Row],[Seat_Capacity]]-Table1_1[[#This Row],[Passengers]]</f>
        <v>55</v>
      </c>
      <c r="K169">
        <v>69.44</v>
      </c>
      <c r="L169" t="str" cm="1">
        <f t="array" ref="L169">_xlfn.IFS(Table1_1[[#This Row],[Load_Factor_%]]&lt;60,"Low",Table1_1[[#This Row],[Load_Factor_%]]&lt;85,"Intermediate",Table1_1[[#This Row],[Load_Factor_%]]&gt;=85,"High")</f>
        <v>Intermediate</v>
      </c>
      <c r="M169" s="4">
        <v>623124</v>
      </c>
      <c r="N169" s="4">
        <v>128693</v>
      </c>
      <c r="O169" s="4">
        <f>SUM(Table1_1[[#This Row],[Ticket_Revenue_INR]:[Cargo_Revenue_INR]])</f>
        <v>751817</v>
      </c>
      <c r="P169" s="4">
        <v>994908</v>
      </c>
      <c r="Q169" s="4">
        <v>1096446</v>
      </c>
      <c r="R169" s="4">
        <f>SUM(Table1_1[[#This Row],[Fuel_Cost_INR]:[Operating_Cost_INR]])</f>
        <v>2091354</v>
      </c>
      <c r="S169" s="4">
        <f>Table1_1[[#This Row],[Total_Revenue]]-Table1_1[[#This Row],[Total_Cost]]</f>
        <v>-1339537</v>
      </c>
      <c r="T169" s="9">
        <f>(Table1_1[[#This Row],[Total_Profit]]/Table1_1[[#This Row],[Total_Revenue]])</f>
        <v>-1.7817327886972494</v>
      </c>
      <c r="U169" s="5">
        <v>29</v>
      </c>
      <c r="V169" s="6" t="s">
        <v>18</v>
      </c>
      <c r="W169" s="8">
        <v>3.5</v>
      </c>
      <c r="X169" t="str" cm="1">
        <f t="array" ref="X169">_xlfn.IFS(Table1_1[[#This Row],[Customer_Rating]]&lt;3,"Poor",Table1_1[[#This Row],[Customer_Rating]]&lt;4,"Good",Table1_1[[#This Row],[Customer_Rating]]&gt;=4,"Excellent")</f>
        <v>Good</v>
      </c>
    </row>
    <row r="170" spans="1:24" x14ac:dyDescent="0.35">
      <c r="A170" s="2" t="s">
        <v>332</v>
      </c>
      <c r="B170" s="3">
        <v>45717</v>
      </c>
      <c r="C170" s="3" t="str">
        <f>TEXT(Table1_1[[#This Row],[Date]],"YYYY")</f>
        <v>2025</v>
      </c>
      <c r="D170" s="3" t="str">
        <f>TEXT(Table1_1[[#This Row],[Date]],"mmm")</f>
        <v>Mar</v>
      </c>
      <c r="E170" s="2" t="s">
        <v>76</v>
      </c>
      <c r="F170" s="2" t="str">
        <f>INDEX(IndiGo_Flight_Data!$R$2:$R$11,MATCH(Table1_1[[#This Row],[Route]],_xlfn.ANCHORARRAY(IndiGo_Flight_Data!$Q$2),0))</f>
        <v>Madras - Delhi</v>
      </c>
      <c r="G170" s="2" t="s">
        <v>43</v>
      </c>
      <c r="H170">
        <v>198</v>
      </c>
      <c r="I170">
        <v>232</v>
      </c>
      <c r="J170">
        <f>Table1_1[[#This Row],[Seat_Capacity]]-Table1_1[[#This Row],[Passengers]]</f>
        <v>34</v>
      </c>
      <c r="K170">
        <v>85.34</v>
      </c>
      <c r="L170" t="str" cm="1">
        <f t="array" ref="L170">_xlfn.IFS(Table1_1[[#This Row],[Load_Factor_%]]&lt;60,"Low",Table1_1[[#This Row],[Load_Factor_%]]&lt;85,"Intermediate",Table1_1[[#This Row],[Load_Factor_%]]&gt;=85,"High")</f>
        <v>High</v>
      </c>
      <c r="M170" s="4">
        <v>941003</v>
      </c>
      <c r="N170" s="4">
        <v>24867</v>
      </c>
      <c r="O170" s="4">
        <f>SUM(Table1_1[[#This Row],[Ticket_Revenue_INR]:[Cargo_Revenue_INR]])</f>
        <v>965870</v>
      </c>
      <c r="P170" s="4">
        <v>350690</v>
      </c>
      <c r="Q170" s="4">
        <v>647912</v>
      </c>
      <c r="R170" s="4">
        <f>SUM(Table1_1[[#This Row],[Fuel_Cost_INR]:[Operating_Cost_INR]])</f>
        <v>998602</v>
      </c>
      <c r="S170" s="4">
        <f>Table1_1[[#This Row],[Total_Revenue]]-Table1_1[[#This Row],[Total_Cost]]</f>
        <v>-32732</v>
      </c>
      <c r="T170" s="9">
        <f>(Table1_1[[#This Row],[Total_Profit]]/Table1_1[[#This Row],[Total_Revenue]])</f>
        <v>-3.3888618551150773E-2</v>
      </c>
      <c r="U170" s="5">
        <v>41</v>
      </c>
      <c r="V170" s="6" t="s">
        <v>18</v>
      </c>
      <c r="W170" s="8">
        <v>4.5999999999999996</v>
      </c>
      <c r="X170" t="str" cm="1">
        <f t="array" ref="X170">_xlfn.IFS(Table1_1[[#This Row],[Customer_Rating]]&lt;3,"Poor",Table1_1[[#This Row],[Customer_Rating]]&lt;4,"Good",Table1_1[[#This Row],[Customer_Rating]]&gt;=4,"Excellent")</f>
        <v>Excellent</v>
      </c>
    </row>
    <row r="171" spans="1:24" x14ac:dyDescent="0.35">
      <c r="A171" s="2" t="s">
        <v>334</v>
      </c>
      <c r="B171" s="3">
        <v>45817</v>
      </c>
      <c r="C171" s="3" t="str">
        <f>TEXT(Table1_1[[#This Row],[Date]],"YYYY")</f>
        <v>2025</v>
      </c>
      <c r="D171" s="3" t="str">
        <f>TEXT(Table1_1[[#This Row],[Date]],"mmm")</f>
        <v>Jun</v>
      </c>
      <c r="E171" s="2" t="s">
        <v>21</v>
      </c>
      <c r="F171" s="2" t="str">
        <f>INDEX(IndiGo_Flight_Data!$R$2:$R$11,MATCH(Table1_1[[#This Row],[Route]],_xlfn.ANCHORARRAY(IndiGo_Flight_Data!$Q$2),0))</f>
        <v>Bengaluru - Hyderabad</v>
      </c>
      <c r="G171" s="2" t="s">
        <v>24</v>
      </c>
      <c r="H171">
        <v>143</v>
      </c>
      <c r="I171">
        <v>180</v>
      </c>
      <c r="J171">
        <f>Table1_1[[#This Row],[Seat_Capacity]]-Table1_1[[#This Row],[Passengers]]</f>
        <v>37</v>
      </c>
      <c r="K171">
        <v>79.44</v>
      </c>
      <c r="L171" t="str" cm="1">
        <f t="array" ref="L171">_xlfn.IFS(Table1_1[[#This Row],[Load_Factor_%]]&lt;60,"Low",Table1_1[[#This Row],[Load_Factor_%]]&lt;85,"Intermediate",Table1_1[[#This Row],[Load_Factor_%]]&gt;=85,"High")</f>
        <v>Intermediate</v>
      </c>
      <c r="M171" s="4">
        <v>867168</v>
      </c>
      <c r="N171" s="4">
        <v>39559</v>
      </c>
      <c r="O171" s="4">
        <f>SUM(Table1_1[[#This Row],[Ticket_Revenue_INR]:[Cargo_Revenue_INR]])</f>
        <v>906727</v>
      </c>
      <c r="P171" s="4">
        <v>524785</v>
      </c>
      <c r="Q171" s="4">
        <v>970866</v>
      </c>
      <c r="R171" s="4">
        <f>SUM(Table1_1[[#This Row],[Fuel_Cost_INR]:[Operating_Cost_INR]])</f>
        <v>1495651</v>
      </c>
      <c r="S171" s="4">
        <f>Table1_1[[#This Row],[Total_Revenue]]-Table1_1[[#This Row],[Total_Cost]]</f>
        <v>-588924</v>
      </c>
      <c r="T171" s="9">
        <f>(Table1_1[[#This Row],[Total_Profit]]/Table1_1[[#This Row],[Total_Revenue]])</f>
        <v>-0.64950530865409328</v>
      </c>
      <c r="U171" s="5">
        <v>78</v>
      </c>
      <c r="V171" s="6" t="s">
        <v>18</v>
      </c>
      <c r="W171" s="8">
        <v>4.7</v>
      </c>
      <c r="X171" t="str" cm="1">
        <f t="array" ref="X171">_xlfn.IFS(Table1_1[[#This Row],[Customer_Rating]]&lt;3,"Poor",Table1_1[[#This Row],[Customer_Rating]]&lt;4,"Good",Table1_1[[#This Row],[Customer_Rating]]&gt;=4,"Excellent")</f>
        <v>Excellent</v>
      </c>
    </row>
    <row r="172" spans="1:24" x14ac:dyDescent="0.35">
      <c r="A172" s="2" t="s">
        <v>336</v>
      </c>
      <c r="B172" s="3">
        <v>45948</v>
      </c>
      <c r="C172" s="3" t="str">
        <f>TEXT(Table1_1[[#This Row],[Date]],"YYYY")</f>
        <v>2025</v>
      </c>
      <c r="D172" s="3" t="str">
        <f>TEXT(Table1_1[[#This Row],[Date]],"mmm")</f>
        <v>Oct</v>
      </c>
      <c r="E172" s="2" t="s">
        <v>16</v>
      </c>
      <c r="F172" s="2" t="str">
        <f>INDEX(IndiGo_Flight_Data!$R$2:$R$11,MATCH(Table1_1[[#This Row],[Route]],_xlfn.ANCHORARRAY(IndiGo_Flight_Data!$Q$2),0))</f>
        <v>Delhi - Goa</v>
      </c>
      <c r="G172" s="2" t="s">
        <v>43</v>
      </c>
      <c r="H172">
        <v>152</v>
      </c>
      <c r="I172">
        <v>232</v>
      </c>
      <c r="J172">
        <f>Table1_1[[#This Row],[Seat_Capacity]]-Table1_1[[#This Row],[Passengers]]</f>
        <v>80</v>
      </c>
      <c r="K172">
        <v>65.52</v>
      </c>
      <c r="L172" t="str" cm="1">
        <f t="array" ref="L172">_xlfn.IFS(Table1_1[[#This Row],[Load_Factor_%]]&lt;60,"Low",Table1_1[[#This Row],[Load_Factor_%]]&lt;85,"Intermediate",Table1_1[[#This Row],[Load_Factor_%]]&gt;=85,"High")</f>
        <v>Intermediate</v>
      </c>
      <c r="M172" s="4">
        <v>1071784</v>
      </c>
      <c r="N172" s="4">
        <v>126826</v>
      </c>
      <c r="O172" s="4">
        <f>SUM(Table1_1[[#This Row],[Ticket_Revenue_INR]:[Cargo_Revenue_INR]])</f>
        <v>1198610</v>
      </c>
      <c r="P172" s="4">
        <v>734014</v>
      </c>
      <c r="Q172" s="4">
        <v>949943</v>
      </c>
      <c r="R172" s="4">
        <f>SUM(Table1_1[[#This Row],[Fuel_Cost_INR]:[Operating_Cost_INR]])</f>
        <v>1683957</v>
      </c>
      <c r="S172" s="4">
        <f>Table1_1[[#This Row],[Total_Revenue]]-Table1_1[[#This Row],[Total_Cost]]</f>
        <v>-485347</v>
      </c>
      <c r="T172" s="9">
        <f>(Table1_1[[#This Row],[Total_Profit]]/Table1_1[[#This Row],[Total_Revenue]])</f>
        <v>-0.40492487130926658</v>
      </c>
      <c r="U172" s="5">
        <v>62</v>
      </c>
      <c r="V172" s="6" t="s">
        <v>18</v>
      </c>
      <c r="W172" s="8">
        <v>4.4000000000000004</v>
      </c>
      <c r="X172" t="str" cm="1">
        <f t="array" ref="X172">_xlfn.IFS(Table1_1[[#This Row],[Customer_Rating]]&lt;3,"Poor",Table1_1[[#This Row],[Customer_Rating]]&lt;4,"Good",Table1_1[[#This Row],[Customer_Rating]]&gt;=4,"Excellent")</f>
        <v>Excellent</v>
      </c>
    </row>
    <row r="173" spans="1:24" x14ac:dyDescent="0.35">
      <c r="A173" s="2" t="s">
        <v>337</v>
      </c>
      <c r="B173" s="3">
        <v>45690</v>
      </c>
      <c r="C173" s="3" t="str">
        <f>TEXT(Table1_1[[#This Row],[Date]],"YYYY")</f>
        <v>2025</v>
      </c>
      <c r="D173" s="3" t="str">
        <f>TEXT(Table1_1[[#This Row],[Date]],"mmm")</f>
        <v>Feb</v>
      </c>
      <c r="E173" s="2" t="s">
        <v>21</v>
      </c>
      <c r="F173" s="2" t="str">
        <f>INDEX(IndiGo_Flight_Data!$R$2:$R$11,MATCH(Table1_1[[#This Row],[Route]],_xlfn.ANCHORARRAY(IndiGo_Flight_Data!$Q$2),0))</f>
        <v>Bengaluru - Hyderabad</v>
      </c>
      <c r="G173" s="2" t="s">
        <v>24</v>
      </c>
      <c r="H173">
        <v>131</v>
      </c>
      <c r="I173">
        <v>180</v>
      </c>
      <c r="J173">
        <f>Table1_1[[#This Row],[Seat_Capacity]]-Table1_1[[#This Row],[Passengers]]</f>
        <v>49</v>
      </c>
      <c r="K173">
        <v>72.78</v>
      </c>
      <c r="L173" t="str" cm="1">
        <f t="array" ref="L173">_xlfn.IFS(Table1_1[[#This Row],[Load_Factor_%]]&lt;60,"Low",Table1_1[[#This Row],[Load_Factor_%]]&lt;85,"Intermediate",Table1_1[[#This Row],[Load_Factor_%]]&gt;=85,"High")</f>
        <v>Intermediate</v>
      </c>
      <c r="M173" s="4">
        <v>900672</v>
      </c>
      <c r="N173" s="4">
        <v>103462</v>
      </c>
      <c r="O173" s="4">
        <f>SUM(Table1_1[[#This Row],[Ticket_Revenue_INR]:[Cargo_Revenue_INR]])</f>
        <v>1004134</v>
      </c>
      <c r="P173" s="4">
        <v>847195</v>
      </c>
      <c r="Q173" s="4">
        <v>996666</v>
      </c>
      <c r="R173" s="4">
        <f>SUM(Table1_1[[#This Row],[Fuel_Cost_INR]:[Operating_Cost_INR]])</f>
        <v>1843861</v>
      </c>
      <c r="S173" s="4">
        <f>Table1_1[[#This Row],[Total_Revenue]]-Table1_1[[#This Row],[Total_Cost]]</f>
        <v>-839727</v>
      </c>
      <c r="T173" s="9">
        <f>(Table1_1[[#This Row],[Total_Profit]]/Table1_1[[#This Row],[Total_Revenue]])</f>
        <v>-0.83626986039711826</v>
      </c>
      <c r="U173" s="5">
        <v>45</v>
      </c>
      <c r="V173" s="6" t="s">
        <v>18</v>
      </c>
      <c r="W173" s="8">
        <v>3.9</v>
      </c>
      <c r="X173" t="str" cm="1">
        <f t="array" ref="X173">_xlfn.IFS(Table1_1[[#This Row],[Customer_Rating]]&lt;3,"Poor",Table1_1[[#This Row],[Customer_Rating]]&lt;4,"Good",Table1_1[[#This Row],[Customer_Rating]]&gt;=4,"Excellent")</f>
        <v>Good</v>
      </c>
    </row>
    <row r="174" spans="1:24" x14ac:dyDescent="0.35">
      <c r="A174" s="2" t="s">
        <v>339</v>
      </c>
      <c r="B174" s="3">
        <v>45734</v>
      </c>
      <c r="C174" s="3" t="str">
        <f>TEXT(Table1_1[[#This Row],[Date]],"YYYY")</f>
        <v>2025</v>
      </c>
      <c r="D174" s="3" t="str">
        <f>TEXT(Table1_1[[#This Row],[Date]],"mmm")</f>
        <v>Mar</v>
      </c>
      <c r="E174" s="2" t="s">
        <v>36</v>
      </c>
      <c r="F174" s="2" t="str">
        <f>INDEX(IndiGo_Flight_Data!$R$2:$R$11,MATCH(Table1_1[[#This Row],[Route]],_xlfn.ANCHORARRAY(IndiGo_Flight_Data!$Q$2),0))</f>
        <v>Delhi - Bombay</v>
      </c>
      <c r="G174" s="2" t="s">
        <v>24</v>
      </c>
      <c r="H174">
        <v>164</v>
      </c>
      <c r="I174">
        <v>180</v>
      </c>
      <c r="J174">
        <f>Table1_1[[#This Row],[Seat_Capacity]]-Table1_1[[#This Row],[Passengers]]</f>
        <v>16</v>
      </c>
      <c r="K174">
        <v>91.11</v>
      </c>
      <c r="L174" t="str" cm="1">
        <f t="array" ref="L174">_xlfn.IFS(Table1_1[[#This Row],[Load_Factor_%]]&lt;60,"Low",Table1_1[[#This Row],[Load_Factor_%]]&lt;85,"Intermediate",Table1_1[[#This Row],[Load_Factor_%]]&gt;=85,"High")</f>
        <v>High</v>
      </c>
      <c r="M174" s="4">
        <v>698321</v>
      </c>
      <c r="N174" s="4">
        <v>119637</v>
      </c>
      <c r="O174" s="4">
        <f>SUM(Table1_1[[#This Row],[Ticket_Revenue_INR]:[Cargo_Revenue_INR]])</f>
        <v>817958</v>
      </c>
      <c r="P174" s="4">
        <v>729167</v>
      </c>
      <c r="Q174" s="4">
        <v>1360046</v>
      </c>
      <c r="R174" s="4">
        <f>SUM(Table1_1[[#This Row],[Fuel_Cost_INR]:[Operating_Cost_INR]])</f>
        <v>2089213</v>
      </c>
      <c r="S174" s="4">
        <f>Table1_1[[#This Row],[Total_Revenue]]-Table1_1[[#This Row],[Total_Cost]]</f>
        <v>-1271255</v>
      </c>
      <c r="T174" s="9">
        <f>(Table1_1[[#This Row],[Total_Profit]]/Table1_1[[#This Row],[Total_Revenue]])</f>
        <v>-1.5541812660307741</v>
      </c>
      <c r="U174" s="5">
        <v>79</v>
      </c>
      <c r="V174" s="6" t="s">
        <v>18</v>
      </c>
      <c r="W174" s="8">
        <v>4.4000000000000004</v>
      </c>
      <c r="X174" t="str" cm="1">
        <f t="array" ref="X174">_xlfn.IFS(Table1_1[[#This Row],[Customer_Rating]]&lt;3,"Poor",Table1_1[[#This Row],[Customer_Rating]]&lt;4,"Good",Table1_1[[#This Row],[Customer_Rating]]&gt;=4,"Excellent")</f>
        <v>Excellent</v>
      </c>
    </row>
    <row r="175" spans="1:24" x14ac:dyDescent="0.35">
      <c r="A175" s="2" t="s">
        <v>341</v>
      </c>
      <c r="B175" s="3">
        <v>45686</v>
      </c>
      <c r="C175" s="3" t="str">
        <f>TEXT(Table1_1[[#This Row],[Date]],"YYYY")</f>
        <v>2025</v>
      </c>
      <c r="D175" s="3" t="str">
        <f>TEXT(Table1_1[[#This Row],[Date]],"mmm")</f>
        <v>Jan</v>
      </c>
      <c r="E175" s="2" t="s">
        <v>29</v>
      </c>
      <c r="F175" s="2" t="str">
        <f>INDEX(IndiGo_Flight_Data!$R$2:$R$11,MATCH(Table1_1[[#This Row],[Route]],_xlfn.ANCHORARRAY(IndiGo_Flight_Data!$Q$2),0))</f>
        <v>Calacatta - Delhi</v>
      </c>
      <c r="G175" s="2" t="s">
        <v>24</v>
      </c>
      <c r="H175">
        <v>132</v>
      </c>
      <c r="I175">
        <v>180</v>
      </c>
      <c r="J175">
        <f>Table1_1[[#This Row],[Seat_Capacity]]-Table1_1[[#This Row],[Passengers]]</f>
        <v>48</v>
      </c>
      <c r="K175">
        <v>73.33</v>
      </c>
      <c r="L175" t="str" cm="1">
        <f t="array" ref="L175">_xlfn.IFS(Table1_1[[#This Row],[Load_Factor_%]]&lt;60,"Low",Table1_1[[#This Row],[Load_Factor_%]]&lt;85,"Intermediate",Table1_1[[#This Row],[Load_Factor_%]]&gt;=85,"High")</f>
        <v>Intermediate</v>
      </c>
      <c r="M175" s="4">
        <v>650853</v>
      </c>
      <c r="N175" s="4">
        <v>88843</v>
      </c>
      <c r="O175" s="4">
        <f>SUM(Table1_1[[#This Row],[Ticket_Revenue_INR]:[Cargo_Revenue_INR]])</f>
        <v>739696</v>
      </c>
      <c r="P175" s="4">
        <v>782162</v>
      </c>
      <c r="Q175" s="4">
        <v>1477956</v>
      </c>
      <c r="R175" s="4">
        <f>SUM(Table1_1[[#This Row],[Fuel_Cost_INR]:[Operating_Cost_INR]])</f>
        <v>2260118</v>
      </c>
      <c r="S175" s="4">
        <f>Table1_1[[#This Row],[Total_Revenue]]-Table1_1[[#This Row],[Total_Cost]]</f>
        <v>-1520422</v>
      </c>
      <c r="T175" s="9">
        <f>(Table1_1[[#This Row],[Total_Profit]]/Table1_1[[#This Row],[Total_Revenue]])</f>
        <v>-2.0554687331011658</v>
      </c>
      <c r="U175" s="5">
        <v>55</v>
      </c>
      <c r="V175" s="6" t="s">
        <v>18</v>
      </c>
      <c r="W175" s="8">
        <v>4.7</v>
      </c>
      <c r="X175" t="str" cm="1">
        <f t="array" ref="X175">_xlfn.IFS(Table1_1[[#This Row],[Customer_Rating]]&lt;3,"Poor",Table1_1[[#This Row],[Customer_Rating]]&lt;4,"Good",Table1_1[[#This Row],[Customer_Rating]]&gt;=4,"Excellent")</f>
        <v>Excellent</v>
      </c>
    </row>
    <row r="176" spans="1:24" x14ac:dyDescent="0.35">
      <c r="A176" s="2" t="s">
        <v>343</v>
      </c>
      <c r="B176" s="3">
        <v>45887</v>
      </c>
      <c r="C176" s="3" t="str">
        <f>TEXT(Table1_1[[#This Row],[Date]],"YYYY")</f>
        <v>2025</v>
      </c>
      <c r="D176" s="3" t="str">
        <f>TEXT(Table1_1[[#This Row],[Date]],"mmm")</f>
        <v>Aug</v>
      </c>
      <c r="E176" s="2" t="s">
        <v>59</v>
      </c>
      <c r="F176" s="2" t="str">
        <f>INDEX(IndiGo_Flight_Data!$R$2:$R$11,MATCH(Table1_1[[#This Row],[Route]],_xlfn.ANCHORARRAY(IndiGo_Flight_Data!$Q$2),0))</f>
        <v>Bengaluru - Bombay</v>
      </c>
      <c r="G176" s="2" t="s">
        <v>17</v>
      </c>
      <c r="H176">
        <v>54</v>
      </c>
      <c r="I176">
        <v>78</v>
      </c>
      <c r="J176">
        <f>Table1_1[[#This Row],[Seat_Capacity]]-Table1_1[[#This Row],[Passengers]]</f>
        <v>24</v>
      </c>
      <c r="K176">
        <v>69.23</v>
      </c>
      <c r="L176" t="str" cm="1">
        <f t="array" ref="L176">_xlfn.IFS(Table1_1[[#This Row],[Load_Factor_%]]&lt;60,"Low",Table1_1[[#This Row],[Load_Factor_%]]&lt;85,"Intermediate",Table1_1[[#This Row],[Load_Factor_%]]&gt;=85,"High")</f>
        <v>Intermediate</v>
      </c>
      <c r="M176" s="4">
        <v>301029</v>
      </c>
      <c r="N176" s="4">
        <v>96620</v>
      </c>
      <c r="O176" s="4">
        <f>SUM(Table1_1[[#This Row],[Ticket_Revenue_INR]:[Cargo_Revenue_INR]])</f>
        <v>397649</v>
      </c>
      <c r="P176" s="4">
        <v>711505</v>
      </c>
      <c r="Q176" s="4">
        <v>1083470</v>
      </c>
      <c r="R176" s="4">
        <f>SUM(Table1_1[[#This Row],[Fuel_Cost_INR]:[Operating_Cost_INR]])</f>
        <v>1794975</v>
      </c>
      <c r="S176" s="4">
        <f>Table1_1[[#This Row],[Total_Revenue]]-Table1_1[[#This Row],[Total_Cost]]</f>
        <v>-1397326</v>
      </c>
      <c r="T176" s="9">
        <f>(Table1_1[[#This Row],[Total_Profit]]/Table1_1[[#This Row],[Total_Revenue]])</f>
        <v>-3.5139683489710776</v>
      </c>
      <c r="U176" s="5">
        <v>87</v>
      </c>
      <c r="V176" s="6" t="s">
        <v>18</v>
      </c>
      <c r="W176" s="8">
        <v>4.0999999999999996</v>
      </c>
      <c r="X176" t="str" cm="1">
        <f t="array" ref="X176">_xlfn.IFS(Table1_1[[#This Row],[Customer_Rating]]&lt;3,"Poor",Table1_1[[#This Row],[Customer_Rating]]&lt;4,"Good",Table1_1[[#This Row],[Customer_Rating]]&gt;=4,"Excellent")</f>
        <v>Excellent</v>
      </c>
    </row>
    <row r="177" spans="1:24" x14ac:dyDescent="0.35">
      <c r="A177" s="2" t="s">
        <v>345</v>
      </c>
      <c r="B177" s="3">
        <v>45664</v>
      </c>
      <c r="C177" s="3" t="str">
        <f>TEXT(Table1_1[[#This Row],[Date]],"YYYY")</f>
        <v>2025</v>
      </c>
      <c r="D177" s="3" t="str">
        <f>TEXT(Table1_1[[#This Row],[Date]],"mmm")</f>
        <v>Jan</v>
      </c>
      <c r="E177" s="2" t="s">
        <v>32</v>
      </c>
      <c r="F177" s="2" t="str">
        <f>INDEX(IndiGo_Flight_Data!$R$2:$R$11,MATCH(Table1_1[[#This Row],[Route]],_xlfn.ANCHORARRAY(IndiGo_Flight_Data!$Q$2),0))</f>
        <v>Bengaluru - Cochin</v>
      </c>
      <c r="G177" s="2" t="s">
        <v>17</v>
      </c>
      <c r="H177">
        <v>74</v>
      </c>
      <c r="I177">
        <v>78</v>
      </c>
      <c r="J177">
        <f>Table1_1[[#This Row],[Seat_Capacity]]-Table1_1[[#This Row],[Passengers]]</f>
        <v>4</v>
      </c>
      <c r="K177">
        <v>94.87</v>
      </c>
      <c r="L177" t="str" cm="1">
        <f t="array" ref="L177">_xlfn.IFS(Table1_1[[#This Row],[Load_Factor_%]]&lt;60,"Low",Table1_1[[#This Row],[Load_Factor_%]]&lt;85,"Intermediate",Table1_1[[#This Row],[Load_Factor_%]]&gt;=85,"High")</f>
        <v>High</v>
      </c>
      <c r="M177" s="4">
        <v>644701</v>
      </c>
      <c r="N177" s="4">
        <v>109859</v>
      </c>
      <c r="O177" s="4">
        <f>SUM(Table1_1[[#This Row],[Ticket_Revenue_INR]:[Cargo_Revenue_INR]])</f>
        <v>754560</v>
      </c>
      <c r="P177" s="4">
        <v>1082201</v>
      </c>
      <c r="Q177" s="4">
        <v>1621434</v>
      </c>
      <c r="R177" s="4">
        <f>SUM(Table1_1[[#This Row],[Fuel_Cost_INR]:[Operating_Cost_INR]])</f>
        <v>2703635</v>
      </c>
      <c r="S177" s="4">
        <f>Table1_1[[#This Row],[Total_Revenue]]-Table1_1[[#This Row],[Total_Cost]]</f>
        <v>-1949075</v>
      </c>
      <c r="T177" s="9">
        <f>(Table1_1[[#This Row],[Total_Profit]]/Table1_1[[#This Row],[Total_Revenue]])</f>
        <v>-2.5830616518235794</v>
      </c>
      <c r="U177" s="5">
        <v>83</v>
      </c>
      <c r="V177" s="6" t="s">
        <v>18</v>
      </c>
      <c r="W177" s="8">
        <v>3.9</v>
      </c>
      <c r="X177" t="str" cm="1">
        <f t="array" ref="X177">_xlfn.IFS(Table1_1[[#This Row],[Customer_Rating]]&lt;3,"Poor",Table1_1[[#This Row],[Customer_Rating]]&lt;4,"Good",Table1_1[[#This Row],[Customer_Rating]]&gt;=4,"Excellent")</f>
        <v>Good</v>
      </c>
    </row>
    <row r="178" spans="1:24" x14ac:dyDescent="0.35">
      <c r="A178" s="2" t="s">
        <v>347</v>
      </c>
      <c r="B178" s="3">
        <v>45910</v>
      </c>
      <c r="C178" s="3" t="str">
        <f>TEXT(Table1_1[[#This Row],[Date]],"YYYY")</f>
        <v>2025</v>
      </c>
      <c r="D178" s="3" t="str">
        <f>TEXT(Table1_1[[#This Row],[Date]],"mmm")</f>
        <v>Sep</v>
      </c>
      <c r="E178" s="2" t="s">
        <v>32</v>
      </c>
      <c r="F178" s="2" t="str">
        <f>INDEX(IndiGo_Flight_Data!$R$2:$R$11,MATCH(Table1_1[[#This Row],[Route]],_xlfn.ANCHORARRAY(IndiGo_Flight_Data!$Q$2),0))</f>
        <v>Bengaluru - Cochin</v>
      </c>
      <c r="G178" s="2" t="s">
        <v>17</v>
      </c>
      <c r="H178">
        <v>76</v>
      </c>
      <c r="I178">
        <v>78</v>
      </c>
      <c r="J178">
        <f>Table1_1[[#This Row],[Seat_Capacity]]-Table1_1[[#This Row],[Passengers]]</f>
        <v>2</v>
      </c>
      <c r="K178">
        <v>97.44</v>
      </c>
      <c r="L178" t="str" cm="1">
        <f t="array" ref="L178">_xlfn.IFS(Table1_1[[#This Row],[Load_Factor_%]]&lt;60,"Low",Table1_1[[#This Row],[Load_Factor_%]]&lt;85,"Intermediate",Table1_1[[#This Row],[Load_Factor_%]]&gt;=85,"High")</f>
        <v>High</v>
      </c>
      <c r="M178" s="4">
        <v>649616</v>
      </c>
      <c r="N178" s="4">
        <v>19318</v>
      </c>
      <c r="O178" s="4">
        <f>SUM(Table1_1[[#This Row],[Ticket_Revenue_INR]:[Cargo_Revenue_INR]])</f>
        <v>668934</v>
      </c>
      <c r="P178" s="4">
        <v>590873</v>
      </c>
      <c r="Q178" s="4">
        <v>750204</v>
      </c>
      <c r="R178" s="4">
        <f>SUM(Table1_1[[#This Row],[Fuel_Cost_INR]:[Operating_Cost_INR]])</f>
        <v>1341077</v>
      </c>
      <c r="S178" s="4">
        <f>Table1_1[[#This Row],[Total_Revenue]]-Table1_1[[#This Row],[Total_Cost]]</f>
        <v>-672143</v>
      </c>
      <c r="T178" s="9">
        <f>(Table1_1[[#This Row],[Total_Profit]]/Table1_1[[#This Row],[Total_Revenue]])</f>
        <v>-1.0047971847745816</v>
      </c>
      <c r="U178" s="5">
        <v>85</v>
      </c>
      <c r="V178" s="6" t="s">
        <v>18</v>
      </c>
      <c r="W178" s="8">
        <v>4.5999999999999996</v>
      </c>
      <c r="X178" t="str" cm="1">
        <f t="array" ref="X178">_xlfn.IFS(Table1_1[[#This Row],[Customer_Rating]]&lt;3,"Poor",Table1_1[[#This Row],[Customer_Rating]]&lt;4,"Good",Table1_1[[#This Row],[Customer_Rating]]&gt;=4,"Excellent")</f>
        <v>Excellent</v>
      </c>
    </row>
    <row r="179" spans="1:24" x14ac:dyDescent="0.35">
      <c r="A179" s="2" t="s">
        <v>349</v>
      </c>
      <c r="B179" s="3">
        <v>45963</v>
      </c>
      <c r="C179" s="3" t="str">
        <f>TEXT(Table1_1[[#This Row],[Date]],"YYYY")</f>
        <v>2025</v>
      </c>
      <c r="D179" s="3" t="str">
        <f>TEXT(Table1_1[[#This Row],[Date]],"mmm")</f>
        <v>Nov</v>
      </c>
      <c r="E179" s="2" t="s">
        <v>32</v>
      </c>
      <c r="F179" s="2" t="str">
        <f>INDEX(IndiGo_Flight_Data!$R$2:$R$11,MATCH(Table1_1[[#This Row],[Route]],_xlfn.ANCHORARRAY(IndiGo_Flight_Data!$Q$2),0))</f>
        <v>Bengaluru - Cochin</v>
      </c>
      <c r="G179" s="2" t="s">
        <v>17</v>
      </c>
      <c r="H179">
        <v>63</v>
      </c>
      <c r="I179">
        <v>78</v>
      </c>
      <c r="J179">
        <f>Table1_1[[#This Row],[Seat_Capacity]]-Table1_1[[#This Row],[Passengers]]</f>
        <v>15</v>
      </c>
      <c r="K179">
        <v>80.77</v>
      </c>
      <c r="L179" t="str" cm="1">
        <f t="array" ref="L179">_xlfn.IFS(Table1_1[[#This Row],[Load_Factor_%]]&lt;60,"Low",Table1_1[[#This Row],[Load_Factor_%]]&lt;85,"Intermediate",Table1_1[[#This Row],[Load_Factor_%]]&gt;=85,"High")</f>
        <v>Intermediate</v>
      </c>
      <c r="M179" s="4">
        <v>526088</v>
      </c>
      <c r="N179" s="4">
        <v>114828</v>
      </c>
      <c r="O179" s="4">
        <f>SUM(Table1_1[[#This Row],[Ticket_Revenue_INR]:[Cargo_Revenue_INR]])</f>
        <v>640916</v>
      </c>
      <c r="P179" s="4">
        <v>567495</v>
      </c>
      <c r="Q179" s="4">
        <v>704117</v>
      </c>
      <c r="R179" s="4">
        <f>SUM(Table1_1[[#This Row],[Fuel_Cost_INR]:[Operating_Cost_INR]])</f>
        <v>1271612</v>
      </c>
      <c r="S179" s="4">
        <f>Table1_1[[#This Row],[Total_Revenue]]-Table1_1[[#This Row],[Total_Cost]]</f>
        <v>-630696</v>
      </c>
      <c r="T179" s="9">
        <f>(Table1_1[[#This Row],[Total_Profit]]/Table1_1[[#This Row],[Total_Revenue]])</f>
        <v>-0.98405407260857902</v>
      </c>
      <c r="U179" s="5">
        <v>80</v>
      </c>
      <c r="V179" s="6" t="s">
        <v>18</v>
      </c>
      <c r="W179" s="8">
        <v>3.3</v>
      </c>
      <c r="X179" t="str" cm="1">
        <f t="array" ref="X179">_xlfn.IFS(Table1_1[[#This Row],[Customer_Rating]]&lt;3,"Poor",Table1_1[[#This Row],[Customer_Rating]]&lt;4,"Good",Table1_1[[#This Row],[Customer_Rating]]&gt;=4,"Excellent")</f>
        <v>Good</v>
      </c>
    </row>
    <row r="180" spans="1:24" x14ac:dyDescent="0.35">
      <c r="A180" s="2" t="s">
        <v>351</v>
      </c>
      <c r="B180" s="3">
        <v>45705</v>
      </c>
      <c r="C180" s="3" t="str">
        <f>TEXT(Table1_1[[#This Row],[Date]],"YYYY")</f>
        <v>2025</v>
      </c>
      <c r="D180" s="3" t="str">
        <f>TEXT(Table1_1[[#This Row],[Date]],"mmm")</f>
        <v>Feb</v>
      </c>
      <c r="E180" s="2" t="s">
        <v>32</v>
      </c>
      <c r="F180" s="2" t="str">
        <f>INDEX(IndiGo_Flight_Data!$R$2:$R$11,MATCH(Table1_1[[#This Row],[Route]],_xlfn.ANCHORARRAY(IndiGo_Flight_Data!$Q$2),0))</f>
        <v>Bengaluru - Cochin</v>
      </c>
      <c r="G180" s="2" t="s">
        <v>17</v>
      </c>
      <c r="H180">
        <v>55</v>
      </c>
      <c r="I180">
        <v>78</v>
      </c>
      <c r="J180">
        <f>Table1_1[[#This Row],[Seat_Capacity]]-Table1_1[[#This Row],[Passengers]]</f>
        <v>23</v>
      </c>
      <c r="K180">
        <v>70.510000000000005</v>
      </c>
      <c r="L180" t="str" cm="1">
        <f t="array" ref="L180">_xlfn.IFS(Table1_1[[#This Row],[Load_Factor_%]]&lt;60,"Low",Table1_1[[#This Row],[Load_Factor_%]]&lt;85,"Intermediate",Table1_1[[#This Row],[Load_Factor_%]]&gt;=85,"High")</f>
        <v>Intermediate</v>
      </c>
      <c r="M180" s="4">
        <v>347331</v>
      </c>
      <c r="N180" s="4">
        <v>101078</v>
      </c>
      <c r="O180" s="4">
        <f>SUM(Table1_1[[#This Row],[Ticket_Revenue_INR]:[Cargo_Revenue_INR]])</f>
        <v>448409</v>
      </c>
      <c r="P180" s="4">
        <v>1053306</v>
      </c>
      <c r="Q180" s="4">
        <v>1636644</v>
      </c>
      <c r="R180" s="4">
        <f>SUM(Table1_1[[#This Row],[Fuel_Cost_INR]:[Operating_Cost_INR]])</f>
        <v>2689950</v>
      </c>
      <c r="S180" s="4">
        <f>Table1_1[[#This Row],[Total_Revenue]]-Table1_1[[#This Row],[Total_Cost]]</f>
        <v>-2241541</v>
      </c>
      <c r="T180" s="9">
        <f>(Table1_1[[#This Row],[Total_Profit]]/Table1_1[[#This Row],[Total_Revenue]])</f>
        <v>-4.9988760261279319</v>
      </c>
      <c r="U180" s="5">
        <v>87</v>
      </c>
      <c r="V180" s="6" t="s">
        <v>18</v>
      </c>
      <c r="W180" s="8">
        <v>4.4000000000000004</v>
      </c>
      <c r="X180" t="str" cm="1">
        <f t="array" ref="X180">_xlfn.IFS(Table1_1[[#This Row],[Customer_Rating]]&lt;3,"Poor",Table1_1[[#This Row],[Customer_Rating]]&lt;4,"Good",Table1_1[[#This Row],[Customer_Rating]]&gt;=4,"Excellent")</f>
        <v>Excellent</v>
      </c>
    </row>
    <row r="181" spans="1:24" x14ac:dyDescent="0.35">
      <c r="A181" s="2" t="s">
        <v>353</v>
      </c>
      <c r="B181" s="3">
        <v>45936</v>
      </c>
      <c r="C181" s="3" t="str">
        <f>TEXT(Table1_1[[#This Row],[Date]],"YYYY")</f>
        <v>2025</v>
      </c>
      <c r="D181" s="3" t="str">
        <f>TEXT(Table1_1[[#This Row],[Date]],"mmm")</f>
        <v>Oct</v>
      </c>
      <c r="E181" s="2" t="s">
        <v>39</v>
      </c>
      <c r="F181" s="2" t="str">
        <f>INDEX(IndiGo_Flight_Data!$R$2:$R$11,MATCH(Table1_1[[#This Row],[Route]],_xlfn.ANCHORARRAY(IndiGo_Flight_Data!$Q$2),0))</f>
        <v>Bengaluru - Delhi</v>
      </c>
      <c r="G181" s="2" t="s">
        <v>24</v>
      </c>
      <c r="H181">
        <v>129</v>
      </c>
      <c r="I181">
        <v>180</v>
      </c>
      <c r="J181">
        <f>Table1_1[[#This Row],[Seat_Capacity]]-Table1_1[[#This Row],[Passengers]]</f>
        <v>51</v>
      </c>
      <c r="K181">
        <v>71.67</v>
      </c>
      <c r="L181" t="str" cm="1">
        <f t="array" ref="L181">_xlfn.IFS(Table1_1[[#This Row],[Load_Factor_%]]&lt;60,"Low",Table1_1[[#This Row],[Load_Factor_%]]&lt;85,"Intermediate",Table1_1[[#This Row],[Load_Factor_%]]&gt;=85,"High")</f>
        <v>Intermediate</v>
      </c>
      <c r="M181" s="4">
        <v>453015</v>
      </c>
      <c r="N181" s="4">
        <v>83149</v>
      </c>
      <c r="O181" s="4">
        <f>SUM(Table1_1[[#This Row],[Ticket_Revenue_INR]:[Cargo_Revenue_INR]])</f>
        <v>536164</v>
      </c>
      <c r="P181" s="4">
        <v>768433</v>
      </c>
      <c r="Q181" s="4">
        <v>1319481</v>
      </c>
      <c r="R181" s="4">
        <f>SUM(Table1_1[[#This Row],[Fuel_Cost_INR]:[Operating_Cost_INR]])</f>
        <v>2087914</v>
      </c>
      <c r="S181" s="4">
        <f>Table1_1[[#This Row],[Total_Revenue]]-Table1_1[[#This Row],[Total_Cost]]</f>
        <v>-1551750</v>
      </c>
      <c r="T181" s="9">
        <f>(Table1_1[[#This Row],[Total_Profit]]/Table1_1[[#This Row],[Total_Revenue]])</f>
        <v>-2.8941704403876427</v>
      </c>
      <c r="U181" s="5">
        <v>82</v>
      </c>
      <c r="V181" s="6" t="s">
        <v>18</v>
      </c>
      <c r="W181" s="8">
        <v>3.7</v>
      </c>
      <c r="X181" t="str" cm="1">
        <f t="array" ref="X181">_xlfn.IFS(Table1_1[[#This Row],[Customer_Rating]]&lt;3,"Poor",Table1_1[[#This Row],[Customer_Rating]]&lt;4,"Good",Table1_1[[#This Row],[Customer_Rating]]&gt;=4,"Excellent")</f>
        <v>Good</v>
      </c>
    </row>
    <row r="182" spans="1:24" x14ac:dyDescent="0.35">
      <c r="A182" s="2" t="s">
        <v>355</v>
      </c>
      <c r="B182" s="3">
        <v>45907</v>
      </c>
      <c r="C182" s="3" t="str">
        <f>TEXT(Table1_1[[#This Row],[Date]],"YYYY")</f>
        <v>2025</v>
      </c>
      <c r="D182" s="3" t="str">
        <f>TEXT(Table1_1[[#This Row],[Date]],"mmm")</f>
        <v>Sep</v>
      </c>
      <c r="E182" s="2" t="s">
        <v>32</v>
      </c>
      <c r="F182" s="2" t="str">
        <f>INDEX(IndiGo_Flight_Data!$R$2:$R$11,MATCH(Table1_1[[#This Row],[Route]],_xlfn.ANCHORARRAY(IndiGo_Flight_Data!$Q$2),0))</f>
        <v>Bengaluru - Cochin</v>
      </c>
      <c r="G182" s="2" t="s">
        <v>24</v>
      </c>
      <c r="H182">
        <v>138</v>
      </c>
      <c r="I182">
        <v>180</v>
      </c>
      <c r="J182">
        <f>Table1_1[[#This Row],[Seat_Capacity]]-Table1_1[[#This Row],[Passengers]]</f>
        <v>42</v>
      </c>
      <c r="K182">
        <v>76.67</v>
      </c>
      <c r="L182" t="str" cm="1">
        <f t="array" ref="L182">_xlfn.IFS(Table1_1[[#This Row],[Load_Factor_%]]&lt;60,"Low",Table1_1[[#This Row],[Load_Factor_%]]&lt;85,"Intermediate",Table1_1[[#This Row],[Load_Factor_%]]&gt;=85,"High")</f>
        <v>Intermediate</v>
      </c>
      <c r="M182" s="4">
        <v>489065</v>
      </c>
      <c r="N182" s="4">
        <v>132471</v>
      </c>
      <c r="O182" s="4">
        <f>SUM(Table1_1[[#This Row],[Ticket_Revenue_INR]:[Cargo_Revenue_INR]])</f>
        <v>621536</v>
      </c>
      <c r="P182" s="4">
        <v>767081</v>
      </c>
      <c r="Q182" s="4">
        <v>1009243</v>
      </c>
      <c r="R182" s="4">
        <f>SUM(Table1_1[[#This Row],[Fuel_Cost_INR]:[Operating_Cost_INR]])</f>
        <v>1776324</v>
      </c>
      <c r="S182" s="4">
        <f>Table1_1[[#This Row],[Total_Revenue]]-Table1_1[[#This Row],[Total_Cost]]</f>
        <v>-1154788</v>
      </c>
      <c r="T182" s="9">
        <f>(Table1_1[[#This Row],[Total_Profit]]/Table1_1[[#This Row],[Total_Revenue]])</f>
        <v>-1.8579583483498945</v>
      </c>
      <c r="U182" s="5">
        <v>41</v>
      </c>
      <c r="V182" s="6" t="s">
        <v>18</v>
      </c>
      <c r="W182" s="8">
        <v>4.0999999999999996</v>
      </c>
      <c r="X182" t="str" cm="1">
        <f t="array" ref="X182">_xlfn.IFS(Table1_1[[#This Row],[Customer_Rating]]&lt;3,"Poor",Table1_1[[#This Row],[Customer_Rating]]&lt;4,"Good",Table1_1[[#This Row],[Customer_Rating]]&gt;=4,"Excellent")</f>
        <v>Excellent</v>
      </c>
    </row>
    <row r="183" spans="1:24" x14ac:dyDescent="0.35">
      <c r="A183" s="2" t="s">
        <v>357</v>
      </c>
      <c r="B183" s="3">
        <v>45738</v>
      </c>
      <c r="C183" s="3" t="str">
        <f>TEXT(Table1_1[[#This Row],[Date]],"YYYY")</f>
        <v>2025</v>
      </c>
      <c r="D183" s="3" t="str">
        <f>TEXT(Table1_1[[#This Row],[Date]],"mmm")</f>
        <v>Mar</v>
      </c>
      <c r="E183" s="2" t="s">
        <v>32</v>
      </c>
      <c r="F183" s="2" t="str">
        <f>INDEX(IndiGo_Flight_Data!$R$2:$R$11,MATCH(Table1_1[[#This Row],[Route]],_xlfn.ANCHORARRAY(IndiGo_Flight_Data!$Q$2),0))</f>
        <v>Bengaluru - Cochin</v>
      </c>
      <c r="G183" s="2" t="s">
        <v>43</v>
      </c>
      <c r="H183">
        <v>180</v>
      </c>
      <c r="I183">
        <v>232</v>
      </c>
      <c r="J183">
        <f>Table1_1[[#This Row],[Seat_Capacity]]-Table1_1[[#This Row],[Passengers]]</f>
        <v>52</v>
      </c>
      <c r="K183">
        <v>77.59</v>
      </c>
      <c r="L183" t="str" cm="1">
        <f t="array" ref="L183">_xlfn.IFS(Table1_1[[#This Row],[Load_Factor_%]]&lt;60,"Low",Table1_1[[#This Row],[Load_Factor_%]]&lt;85,"Intermediate",Table1_1[[#This Row],[Load_Factor_%]]&gt;=85,"High")</f>
        <v>Intermediate</v>
      </c>
      <c r="M183" s="4">
        <v>851250</v>
      </c>
      <c r="N183" s="4">
        <v>35554</v>
      </c>
      <c r="O183" s="4">
        <f>SUM(Table1_1[[#This Row],[Ticket_Revenue_INR]:[Cargo_Revenue_INR]])</f>
        <v>886804</v>
      </c>
      <c r="P183" s="4">
        <v>1054630</v>
      </c>
      <c r="Q183" s="4">
        <v>1588630</v>
      </c>
      <c r="R183" s="4">
        <f>SUM(Table1_1[[#This Row],[Fuel_Cost_INR]:[Operating_Cost_INR]])</f>
        <v>2643260</v>
      </c>
      <c r="S183" s="4">
        <f>Table1_1[[#This Row],[Total_Revenue]]-Table1_1[[#This Row],[Total_Cost]]</f>
        <v>-1756456</v>
      </c>
      <c r="T183" s="9">
        <f>(Table1_1[[#This Row],[Total_Profit]]/Table1_1[[#This Row],[Total_Revenue]])</f>
        <v>-1.9806586348279891</v>
      </c>
      <c r="U183" s="5">
        <v>69</v>
      </c>
      <c r="V183" s="6" t="s">
        <v>18</v>
      </c>
      <c r="W183" s="8">
        <v>3.8</v>
      </c>
      <c r="X183" t="str" cm="1">
        <f t="array" ref="X183">_xlfn.IFS(Table1_1[[#This Row],[Customer_Rating]]&lt;3,"Poor",Table1_1[[#This Row],[Customer_Rating]]&lt;4,"Good",Table1_1[[#This Row],[Customer_Rating]]&gt;=4,"Excellent")</f>
        <v>Good</v>
      </c>
    </row>
    <row r="184" spans="1:24" x14ac:dyDescent="0.35">
      <c r="A184" s="2" t="s">
        <v>359</v>
      </c>
      <c r="B184" s="3">
        <v>45913</v>
      </c>
      <c r="C184" s="3" t="str">
        <f>TEXT(Table1_1[[#This Row],[Date]],"YYYY")</f>
        <v>2025</v>
      </c>
      <c r="D184" s="3" t="str">
        <f>TEXT(Table1_1[[#This Row],[Date]],"mmm")</f>
        <v>Sep</v>
      </c>
      <c r="E184" s="2" t="s">
        <v>32</v>
      </c>
      <c r="F184" s="2" t="str">
        <f>INDEX(IndiGo_Flight_Data!$R$2:$R$11,MATCH(Table1_1[[#This Row],[Route]],_xlfn.ANCHORARRAY(IndiGo_Flight_Data!$Q$2),0))</f>
        <v>Bengaluru - Cochin</v>
      </c>
      <c r="G184" s="2" t="s">
        <v>17</v>
      </c>
      <c r="H184">
        <v>74</v>
      </c>
      <c r="I184">
        <v>78</v>
      </c>
      <c r="J184">
        <f>Table1_1[[#This Row],[Seat_Capacity]]-Table1_1[[#This Row],[Passengers]]</f>
        <v>4</v>
      </c>
      <c r="K184">
        <v>94.87</v>
      </c>
      <c r="L184" t="str" cm="1">
        <f t="array" ref="L184">_xlfn.IFS(Table1_1[[#This Row],[Load_Factor_%]]&lt;60,"Low",Table1_1[[#This Row],[Load_Factor_%]]&lt;85,"Intermediate",Table1_1[[#This Row],[Load_Factor_%]]&gt;=85,"High")</f>
        <v>High</v>
      </c>
      <c r="M184" s="4">
        <v>606033</v>
      </c>
      <c r="N184" s="4">
        <v>108349</v>
      </c>
      <c r="O184" s="4">
        <f>SUM(Table1_1[[#This Row],[Ticket_Revenue_INR]:[Cargo_Revenue_INR]])</f>
        <v>714382</v>
      </c>
      <c r="P184" s="4">
        <v>1001630</v>
      </c>
      <c r="Q184" s="4">
        <v>1674594</v>
      </c>
      <c r="R184" s="4">
        <f>SUM(Table1_1[[#This Row],[Fuel_Cost_INR]:[Operating_Cost_INR]])</f>
        <v>2676224</v>
      </c>
      <c r="S184" s="4">
        <f>Table1_1[[#This Row],[Total_Revenue]]-Table1_1[[#This Row],[Total_Cost]]</f>
        <v>-1961842</v>
      </c>
      <c r="T184" s="9">
        <f>(Table1_1[[#This Row],[Total_Profit]]/Table1_1[[#This Row],[Total_Revenue]])</f>
        <v>-2.7462086110792265</v>
      </c>
      <c r="U184" s="5">
        <v>11</v>
      </c>
      <c r="V184" s="6" t="s">
        <v>33</v>
      </c>
      <c r="W184" s="8">
        <v>4.8</v>
      </c>
      <c r="X184" t="str" cm="1">
        <f t="array" ref="X184">_xlfn.IFS(Table1_1[[#This Row],[Customer_Rating]]&lt;3,"Poor",Table1_1[[#This Row],[Customer_Rating]]&lt;4,"Good",Table1_1[[#This Row],[Customer_Rating]]&gt;=4,"Excellent")</f>
        <v>Excellent</v>
      </c>
    </row>
    <row r="185" spans="1:24" x14ac:dyDescent="0.35">
      <c r="A185" s="2" t="s">
        <v>360</v>
      </c>
      <c r="B185" s="3">
        <v>45856</v>
      </c>
      <c r="C185" s="3" t="str">
        <f>TEXT(Table1_1[[#This Row],[Date]],"YYYY")</f>
        <v>2025</v>
      </c>
      <c r="D185" s="3" t="str">
        <f>TEXT(Table1_1[[#This Row],[Date]],"mmm")</f>
        <v>Jul</v>
      </c>
      <c r="E185" s="2" t="s">
        <v>76</v>
      </c>
      <c r="F185" s="2" t="str">
        <f>INDEX(IndiGo_Flight_Data!$R$2:$R$11,MATCH(Table1_1[[#This Row],[Route]],_xlfn.ANCHORARRAY(IndiGo_Flight_Data!$Q$2),0))</f>
        <v>Madras - Delhi</v>
      </c>
      <c r="G185" s="2" t="s">
        <v>43</v>
      </c>
      <c r="H185">
        <v>183</v>
      </c>
      <c r="I185">
        <v>232</v>
      </c>
      <c r="J185">
        <f>Table1_1[[#This Row],[Seat_Capacity]]-Table1_1[[#This Row],[Passengers]]</f>
        <v>49</v>
      </c>
      <c r="K185">
        <v>78.88</v>
      </c>
      <c r="L185" t="str" cm="1">
        <f t="array" ref="L185">_xlfn.IFS(Table1_1[[#This Row],[Load_Factor_%]]&lt;60,"Low",Table1_1[[#This Row],[Load_Factor_%]]&lt;85,"Intermediate",Table1_1[[#This Row],[Load_Factor_%]]&gt;=85,"High")</f>
        <v>Intermediate</v>
      </c>
      <c r="M185" s="4">
        <v>1045631</v>
      </c>
      <c r="N185" s="4">
        <v>126992</v>
      </c>
      <c r="O185" s="4">
        <f>SUM(Table1_1[[#This Row],[Ticket_Revenue_INR]:[Cargo_Revenue_INR]])</f>
        <v>1172623</v>
      </c>
      <c r="P185" s="4">
        <v>970567</v>
      </c>
      <c r="Q185" s="4">
        <v>1587357</v>
      </c>
      <c r="R185" s="4">
        <f>SUM(Table1_1[[#This Row],[Fuel_Cost_INR]:[Operating_Cost_INR]])</f>
        <v>2557924</v>
      </c>
      <c r="S185" s="4">
        <f>Table1_1[[#This Row],[Total_Revenue]]-Table1_1[[#This Row],[Total_Cost]]</f>
        <v>-1385301</v>
      </c>
      <c r="T185" s="9">
        <f>(Table1_1[[#This Row],[Total_Profit]]/Table1_1[[#This Row],[Total_Revenue]])</f>
        <v>-1.1813694597496383</v>
      </c>
      <c r="U185" s="5">
        <v>62</v>
      </c>
      <c r="V185" s="6" t="s">
        <v>18</v>
      </c>
      <c r="W185" s="8">
        <v>4.3</v>
      </c>
      <c r="X185" t="str" cm="1">
        <f t="array" ref="X185">_xlfn.IFS(Table1_1[[#This Row],[Customer_Rating]]&lt;3,"Poor",Table1_1[[#This Row],[Customer_Rating]]&lt;4,"Good",Table1_1[[#This Row],[Customer_Rating]]&gt;=4,"Excellent")</f>
        <v>Excellent</v>
      </c>
    </row>
    <row r="186" spans="1:24" x14ac:dyDescent="0.35">
      <c r="A186" s="2" t="s">
        <v>361</v>
      </c>
      <c r="B186" s="3">
        <v>45990</v>
      </c>
      <c r="C186" s="3" t="str">
        <f>TEXT(Table1_1[[#This Row],[Date]],"YYYY")</f>
        <v>2025</v>
      </c>
      <c r="D186" s="3" t="str">
        <f>TEXT(Table1_1[[#This Row],[Date]],"mmm")</f>
        <v>Nov</v>
      </c>
      <c r="E186" s="2" t="s">
        <v>36</v>
      </c>
      <c r="F186" s="2" t="str">
        <f>INDEX(IndiGo_Flight_Data!$R$2:$R$11,MATCH(Table1_1[[#This Row],[Route]],_xlfn.ANCHORARRAY(IndiGo_Flight_Data!$Q$2),0))</f>
        <v>Delhi - Bombay</v>
      </c>
      <c r="G186" s="2" t="s">
        <v>24</v>
      </c>
      <c r="H186">
        <v>132</v>
      </c>
      <c r="I186">
        <v>180</v>
      </c>
      <c r="J186">
        <f>Table1_1[[#This Row],[Seat_Capacity]]-Table1_1[[#This Row],[Passengers]]</f>
        <v>48</v>
      </c>
      <c r="K186">
        <v>73.33</v>
      </c>
      <c r="L186" t="str" cm="1">
        <f t="array" ref="L186">_xlfn.IFS(Table1_1[[#This Row],[Load_Factor_%]]&lt;60,"Low",Table1_1[[#This Row],[Load_Factor_%]]&lt;85,"Intermediate",Table1_1[[#This Row],[Load_Factor_%]]&gt;=85,"High")</f>
        <v>Intermediate</v>
      </c>
      <c r="M186" s="4">
        <v>699408</v>
      </c>
      <c r="N186" s="4">
        <v>91904</v>
      </c>
      <c r="O186" s="4">
        <f>SUM(Table1_1[[#This Row],[Ticket_Revenue_INR]:[Cargo_Revenue_INR]])</f>
        <v>791312</v>
      </c>
      <c r="P186" s="4">
        <v>427994</v>
      </c>
      <c r="Q186" s="4">
        <v>1075604</v>
      </c>
      <c r="R186" s="4">
        <f>SUM(Table1_1[[#This Row],[Fuel_Cost_INR]:[Operating_Cost_INR]])</f>
        <v>1503598</v>
      </c>
      <c r="S186" s="4">
        <f>Table1_1[[#This Row],[Total_Revenue]]-Table1_1[[#This Row],[Total_Cost]]</f>
        <v>-712286</v>
      </c>
      <c r="T186" s="9">
        <f>(Table1_1[[#This Row],[Total_Profit]]/Table1_1[[#This Row],[Total_Revenue]])</f>
        <v>-0.90013294376933495</v>
      </c>
      <c r="U186" s="5">
        <v>47</v>
      </c>
      <c r="V186" s="6" t="s">
        <v>18</v>
      </c>
      <c r="W186" s="8">
        <v>4.7</v>
      </c>
      <c r="X186" t="str" cm="1">
        <f t="array" ref="X186">_xlfn.IFS(Table1_1[[#This Row],[Customer_Rating]]&lt;3,"Poor",Table1_1[[#This Row],[Customer_Rating]]&lt;4,"Good",Table1_1[[#This Row],[Customer_Rating]]&gt;=4,"Excellent")</f>
        <v>Excellent</v>
      </c>
    </row>
    <row r="187" spans="1:24" x14ac:dyDescent="0.35">
      <c r="A187" s="2" t="s">
        <v>363</v>
      </c>
      <c r="B187" s="3">
        <v>45911</v>
      </c>
      <c r="C187" s="3" t="str">
        <f>TEXT(Table1_1[[#This Row],[Date]],"YYYY")</f>
        <v>2025</v>
      </c>
      <c r="D187" s="3" t="str">
        <f>TEXT(Table1_1[[#This Row],[Date]],"mmm")</f>
        <v>Sep</v>
      </c>
      <c r="E187" s="2" t="s">
        <v>39</v>
      </c>
      <c r="F187" s="2" t="str">
        <f>INDEX(IndiGo_Flight_Data!$R$2:$R$11,MATCH(Table1_1[[#This Row],[Route]],_xlfn.ANCHORARRAY(IndiGo_Flight_Data!$Q$2),0))</f>
        <v>Bengaluru - Delhi</v>
      </c>
      <c r="G187" s="2" t="s">
        <v>17</v>
      </c>
      <c r="H187">
        <v>68</v>
      </c>
      <c r="I187">
        <v>78</v>
      </c>
      <c r="J187">
        <f>Table1_1[[#This Row],[Seat_Capacity]]-Table1_1[[#This Row],[Passengers]]</f>
        <v>10</v>
      </c>
      <c r="K187">
        <v>87.18</v>
      </c>
      <c r="L187" t="str" cm="1">
        <f t="array" ref="L187">_xlfn.IFS(Table1_1[[#This Row],[Load_Factor_%]]&lt;60,"Low",Table1_1[[#This Row],[Load_Factor_%]]&lt;85,"Intermediate",Table1_1[[#This Row],[Load_Factor_%]]&gt;=85,"High")</f>
        <v>High</v>
      </c>
      <c r="M187" s="4">
        <v>556951</v>
      </c>
      <c r="N187" s="4">
        <v>79473</v>
      </c>
      <c r="O187" s="4">
        <f>SUM(Table1_1[[#This Row],[Ticket_Revenue_INR]:[Cargo_Revenue_INR]])</f>
        <v>636424</v>
      </c>
      <c r="P187" s="4">
        <v>529539</v>
      </c>
      <c r="Q187" s="4">
        <v>783397</v>
      </c>
      <c r="R187" s="4">
        <f>SUM(Table1_1[[#This Row],[Fuel_Cost_INR]:[Operating_Cost_INR]])</f>
        <v>1312936</v>
      </c>
      <c r="S187" s="4">
        <f>Table1_1[[#This Row],[Total_Revenue]]-Table1_1[[#This Row],[Total_Cost]]</f>
        <v>-676512</v>
      </c>
      <c r="T187" s="9">
        <f>(Table1_1[[#This Row],[Total_Profit]]/Table1_1[[#This Row],[Total_Revenue]])</f>
        <v>-1.0629894535718327</v>
      </c>
      <c r="U187" s="5">
        <v>40</v>
      </c>
      <c r="V187" s="6" t="s">
        <v>18</v>
      </c>
      <c r="W187" s="8">
        <v>3.5</v>
      </c>
      <c r="X187" t="str" cm="1">
        <f t="array" ref="X187">_xlfn.IFS(Table1_1[[#This Row],[Customer_Rating]]&lt;3,"Poor",Table1_1[[#This Row],[Customer_Rating]]&lt;4,"Good",Table1_1[[#This Row],[Customer_Rating]]&gt;=4,"Excellent")</f>
        <v>Good</v>
      </c>
    </row>
    <row r="188" spans="1:24" x14ac:dyDescent="0.35">
      <c r="A188" s="2" t="s">
        <v>365</v>
      </c>
      <c r="B188" s="3">
        <v>45818</v>
      </c>
      <c r="C188" s="3" t="str">
        <f>TEXT(Table1_1[[#This Row],[Date]],"YYYY")</f>
        <v>2025</v>
      </c>
      <c r="D188" s="3" t="str">
        <f>TEXT(Table1_1[[#This Row],[Date]],"mmm")</f>
        <v>Jun</v>
      </c>
      <c r="E188" s="2" t="s">
        <v>29</v>
      </c>
      <c r="F188" s="2" t="str">
        <f>INDEX(IndiGo_Flight_Data!$R$2:$R$11,MATCH(Table1_1[[#This Row],[Route]],_xlfn.ANCHORARRAY(IndiGo_Flight_Data!$Q$2),0))</f>
        <v>Calacatta - Delhi</v>
      </c>
      <c r="G188" s="2" t="s">
        <v>17</v>
      </c>
      <c r="H188">
        <v>55</v>
      </c>
      <c r="I188">
        <v>78</v>
      </c>
      <c r="J188">
        <f>Table1_1[[#This Row],[Seat_Capacity]]-Table1_1[[#This Row],[Passengers]]</f>
        <v>23</v>
      </c>
      <c r="K188">
        <v>70.510000000000005</v>
      </c>
      <c r="L188" t="str" cm="1">
        <f t="array" ref="L188">_xlfn.IFS(Table1_1[[#This Row],[Load_Factor_%]]&lt;60,"Low",Table1_1[[#This Row],[Load_Factor_%]]&lt;85,"Intermediate",Table1_1[[#This Row],[Load_Factor_%]]&gt;=85,"High")</f>
        <v>Intermediate</v>
      </c>
      <c r="M188" s="4">
        <v>407632</v>
      </c>
      <c r="N188" s="4">
        <v>147739</v>
      </c>
      <c r="O188" s="4">
        <f>SUM(Table1_1[[#This Row],[Ticket_Revenue_INR]:[Cargo_Revenue_INR]])</f>
        <v>555371</v>
      </c>
      <c r="P188" s="4">
        <v>578484</v>
      </c>
      <c r="Q188" s="4">
        <v>1001684</v>
      </c>
      <c r="R188" s="4">
        <f>SUM(Table1_1[[#This Row],[Fuel_Cost_INR]:[Operating_Cost_INR]])</f>
        <v>1580168</v>
      </c>
      <c r="S188" s="4">
        <f>Table1_1[[#This Row],[Total_Revenue]]-Table1_1[[#This Row],[Total_Cost]]</f>
        <v>-1024797</v>
      </c>
      <c r="T188" s="9">
        <f>(Table1_1[[#This Row],[Total_Profit]]/Table1_1[[#This Row],[Total_Revenue]])</f>
        <v>-1.8452475912498132</v>
      </c>
      <c r="U188" s="5">
        <v>36</v>
      </c>
      <c r="V188" s="6" t="s">
        <v>18</v>
      </c>
      <c r="W188" s="8">
        <v>4.0999999999999996</v>
      </c>
      <c r="X188" t="str" cm="1">
        <f t="array" ref="X188">_xlfn.IFS(Table1_1[[#This Row],[Customer_Rating]]&lt;3,"Poor",Table1_1[[#This Row],[Customer_Rating]]&lt;4,"Good",Table1_1[[#This Row],[Customer_Rating]]&gt;=4,"Excellent")</f>
        <v>Excellent</v>
      </c>
    </row>
    <row r="189" spans="1:24" x14ac:dyDescent="0.35">
      <c r="A189" s="2" t="s">
        <v>366</v>
      </c>
      <c r="B189" s="3">
        <v>45932</v>
      </c>
      <c r="C189" s="3" t="str">
        <f>TEXT(Table1_1[[#This Row],[Date]],"YYYY")</f>
        <v>2025</v>
      </c>
      <c r="D189" s="3" t="str">
        <f>TEXT(Table1_1[[#This Row],[Date]],"mmm")</f>
        <v>Oct</v>
      </c>
      <c r="E189" s="2" t="s">
        <v>39</v>
      </c>
      <c r="F189" s="2" t="str">
        <f>INDEX(IndiGo_Flight_Data!$R$2:$R$11,MATCH(Table1_1[[#This Row],[Route]],_xlfn.ANCHORARRAY(IndiGo_Flight_Data!$Q$2),0))</f>
        <v>Bengaluru - Delhi</v>
      </c>
      <c r="G189" s="2" t="s">
        <v>24</v>
      </c>
      <c r="H189">
        <v>174</v>
      </c>
      <c r="I189">
        <v>180</v>
      </c>
      <c r="J189">
        <f>Table1_1[[#This Row],[Seat_Capacity]]-Table1_1[[#This Row],[Passengers]]</f>
        <v>6</v>
      </c>
      <c r="K189">
        <v>96.67</v>
      </c>
      <c r="L189" t="str" cm="1">
        <f t="array" ref="L189">_xlfn.IFS(Table1_1[[#This Row],[Load_Factor_%]]&lt;60,"Low",Table1_1[[#This Row],[Load_Factor_%]]&lt;85,"Intermediate",Table1_1[[#This Row],[Load_Factor_%]]&gt;=85,"High")</f>
        <v>High</v>
      </c>
      <c r="M189" s="4">
        <v>1391741</v>
      </c>
      <c r="N189" s="4">
        <v>57848</v>
      </c>
      <c r="O189" s="4">
        <f>SUM(Table1_1[[#This Row],[Ticket_Revenue_INR]:[Cargo_Revenue_INR]])</f>
        <v>1449589</v>
      </c>
      <c r="P189" s="4">
        <v>270263</v>
      </c>
      <c r="Q189" s="4">
        <v>546337</v>
      </c>
      <c r="R189" s="4">
        <f>SUM(Table1_1[[#This Row],[Fuel_Cost_INR]:[Operating_Cost_INR]])</f>
        <v>816600</v>
      </c>
      <c r="S189" s="4">
        <f>Table1_1[[#This Row],[Total_Revenue]]-Table1_1[[#This Row],[Total_Cost]]</f>
        <v>632989</v>
      </c>
      <c r="T189" s="9">
        <f>(Table1_1[[#This Row],[Total_Profit]]/Table1_1[[#This Row],[Total_Revenue]])</f>
        <v>0.43666791069744598</v>
      </c>
      <c r="U189" s="5">
        <v>21</v>
      </c>
      <c r="V189" s="6" t="s">
        <v>18</v>
      </c>
      <c r="W189" s="8">
        <v>3.2</v>
      </c>
      <c r="X189" t="str" cm="1">
        <f t="array" ref="X189">_xlfn.IFS(Table1_1[[#This Row],[Customer_Rating]]&lt;3,"Poor",Table1_1[[#This Row],[Customer_Rating]]&lt;4,"Good",Table1_1[[#This Row],[Customer_Rating]]&gt;=4,"Excellent")</f>
        <v>Good</v>
      </c>
    </row>
    <row r="190" spans="1:24" x14ac:dyDescent="0.35">
      <c r="A190" s="2" t="s">
        <v>368</v>
      </c>
      <c r="B190" s="3">
        <v>45788</v>
      </c>
      <c r="C190" s="3" t="str">
        <f>TEXT(Table1_1[[#This Row],[Date]],"YYYY")</f>
        <v>2025</v>
      </c>
      <c r="D190" s="3" t="str">
        <f>TEXT(Table1_1[[#This Row],[Date]],"mmm")</f>
        <v>May</v>
      </c>
      <c r="E190" s="2" t="s">
        <v>39</v>
      </c>
      <c r="F190" s="2" t="str">
        <f>INDEX(IndiGo_Flight_Data!$R$2:$R$11,MATCH(Table1_1[[#This Row],[Route]],_xlfn.ANCHORARRAY(IndiGo_Flight_Data!$Q$2),0))</f>
        <v>Bengaluru - Delhi</v>
      </c>
      <c r="G190" s="2" t="s">
        <v>43</v>
      </c>
      <c r="H190">
        <v>175</v>
      </c>
      <c r="I190">
        <v>232</v>
      </c>
      <c r="J190">
        <f>Table1_1[[#This Row],[Seat_Capacity]]-Table1_1[[#This Row],[Passengers]]</f>
        <v>57</v>
      </c>
      <c r="K190">
        <v>75.430000000000007</v>
      </c>
      <c r="L190" t="str" cm="1">
        <f t="array" ref="L190">_xlfn.IFS(Table1_1[[#This Row],[Load_Factor_%]]&lt;60,"Low",Table1_1[[#This Row],[Load_Factor_%]]&lt;85,"Intermediate",Table1_1[[#This Row],[Load_Factor_%]]&gt;=85,"High")</f>
        <v>Intermediate</v>
      </c>
      <c r="M190" s="4">
        <v>1146419</v>
      </c>
      <c r="N190" s="4">
        <v>69969</v>
      </c>
      <c r="O190" s="4">
        <f>SUM(Table1_1[[#This Row],[Ticket_Revenue_INR]:[Cargo_Revenue_INR]])</f>
        <v>1216388</v>
      </c>
      <c r="P190" s="4">
        <v>853435</v>
      </c>
      <c r="Q190" s="4">
        <v>1440356</v>
      </c>
      <c r="R190" s="4">
        <f>SUM(Table1_1[[#This Row],[Fuel_Cost_INR]:[Operating_Cost_INR]])</f>
        <v>2293791</v>
      </c>
      <c r="S190" s="4">
        <f>Table1_1[[#This Row],[Total_Revenue]]-Table1_1[[#This Row],[Total_Cost]]</f>
        <v>-1077403</v>
      </c>
      <c r="T190" s="9">
        <f>(Table1_1[[#This Row],[Total_Profit]]/Table1_1[[#This Row],[Total_Revenue]])</f>
        <v>-0.88573958309355239</v>
      </c>
      <c r="U190" s="5">
        <v>36</v>
      </c>
      <c r="V190" s="6" t="s">
        <v>18</v>
      </c>
      <c r="W190" s="8">
        <v>4.2</v>
      </c>
      <c r="X190" t="str" cm="1">
        <f t="array" ref="X190">_xlfn.IFS(Table1_1[[#This Row],[Customer_Rating]]&lt;3,"Poor",Table1_1[[#This Row],[Customer_Rating]]&lt;4,"Good",Table1_1[[#This Row],[Customer_Rating]]&gt;=4,"Excellent")</f>
        <v>Excellent</v>
      </c>
    </row>
    <row r="191" spans="1:24" x14ac:dyDescent="0.35">
      <c r="A191" s="2" t="s">
        <v>370</v>
      </c>
      <c r="B191" s="3">
        <v>45927</v>
      </c>
      <c r="C191" s="3" t="str">
        <f>TEXT(Table1_1[[#This Row],[Date]],"YYYY")</f>
        <v>2025</v>
      </c>
      <c r="D191" s="3" t="str">
        <f>TEXT(Table1_1[[#This Row],[Date]],"mmm")</f>
        <v>Sep</v>
      </c>
      <c r="E191" s="2" t="s">
        <v>39</v>
      </c>
      <c r="F191" s="2" t="str">
        <f>INDEX(IndiGo_Flight_Data!$R$2:$R$11,MATCH(Table1_1[[#This Row],[Route]],_xlfn.ANCHORARRAY(IndiGo_Flight_Data!$Q$2),0))</f>
        <v>Bengaluru - Delhi</v>
      </c>
      <c r="G191" s="2" t="s">
        <v>17</v>
      </c>
      <c r="H191">
        <v>62</v>
      </c>
      <c r="I191">
        <v>78</v>
      </c>
      <c r="J191">
        <f>Table1_1[[#This Row],[Seat_Capacity]]-Table1_1[[#This Row],[Passengers]]</f>
        <v>16</v>
      </c>
      <c r="K191">
        <v>79.489999999999995</v>
      </c>
      <c r="L191" t="str" cm="1">
        <f t="array" ref="L191">_xlfn.IFS(Table1_1[[#This Row],[Load_Factor_%]]&lt;60,"Low",Table1_1[[#This Row],[Load_Factor_%]]&lt;85,"Intermediate",Table1_1[[#This Row],[Load_Factor_%]]&gt;=85,"High")</f>
        <v>Intermediate</v>
      </c>
      <c r="M191" s="4">
        <v>519103</v>
      </c>
      <c r="N191" s="4">
        <v>16772</v>
      </c>
      <c r="O191" s="4">
        <f>SUM(Table1_1[[#This Row],[Ticket_Revenue_INR]:[Cargo_Revenue_INR]])</f>
        <v>535875</v>
      </c>
      <c r="P191" s="4">
        <v>903315</v>
      </c>
      <c r="Q191" s="4">
        <v>1365310</v>
      </c>
      <c r="R191" s="4">
        <f>SUM(Table1_1[[#This Row],[Fuel_Cost_INR]:[Operating_Cost_INR]])</f>
        <v>2268625</v>
      </c>
      <c r="S191" s="4">
        <f>Table1_1[[#This Row],[Total_Revenue]]-Table1_1[[#This Row],[Total_Cost]]</f>
        <v>-1732750</v>
      </c>
      <c r="T191" s="9">
        <f>(Table1_1[[#This Row],[Total_Profit]]/Table1_1[[#This Row],[Total_Revenue]])</f>
        <v>-3.2334966176813622</v>
      </c>
      <c r="U191" s="5">
        <v>13</v>
      </c>
      <c r="V191" s="6" t="s">
        <v>33</v>
      </c>
      <c r="W191" s="8">
        <v>4.2</v>
      </c>
      <c r="X191" t="str" cm="1">
        <f t="array" ref="X191">_xlfn.IFS(Table1_1[[#This Row],[Customer_Rating]]&lt;3,"Poor",Table1_1[[#This Row],[Customer_Rating]]&lt;4,"Good",Table1_1[[#This Row],[Customer_Rating]]&gt;=4,"Excellent")</f>
        <v>Excellent</v>
      </c>
    </row>
    <row r="192" spans="1:24" x14ac:dyDescent="0.35">
      <c r="A192" s="2" t="s">
        <v>372</v>
      </c>
      <c r="B192" s="3">
        <v>45803</v>
      </c>
      <c r="C192" s="3" t="str">
        <f>TEXT(Table1_1[[#This Row],[Date]],"YYYY")</f>
        <v>2025</v>
      </c>
      <c r="D192" s="3" t="str">
        <f>TEXT(Table1_1[[#This Row],[Date]],"mmm")</f>
        <v>May</v>
      </c>
      <c r="E192" s="2" t="s">
        <v>117</v>
      </c>
      <c r="F192" s="2" t="str">
        <f>INDEX(IndiGo_Flight_Data!$R$2:$R$11,MATCH(Table1_1[[#This Row],[Route]],_xlfn.ANCHORARRAY(IndiGo_Flight_Data!$Q$2),0))</f>
        <v>Bengaluru - Calacatta</v>
      </c>
      <c r="G192" s="2" t="s">
        <v>17</v>
      </c>
      <c r="H192">
        <v>53</v>
      </c>
      <c r="I192">
        <v>78</v>
      </c>
      <c r="J192">
        <f>Table1_1[[#This Row],[Seat_Capacity]]-Table1_1[[#This Row],[Passengers]]</f>
        <v>25</v>
      </c>
      <c r="K192">
        <v>67.95</v>
      </c>
      <c r="L192" t="str" cm="1">
        <f t="array" ref="L192">_xlfn.IFS(Table1_1[[#This Row],[Load_Factor_%]]&lt;60,"Low",Table1_1[[#This Row],[Load_Factor_%]]&lt;85,"Intermediate",Table1_1[[#This Row],[Load_Factor_%]]&gt;=85,"High")</f>
        <v>Intermediate</v>
      </c>
      <c r="M192" s="4">
        <v>425852</v>
      </c>
      <c r="N192" s="4">
        <v>88593</v>
      </c>
      <c r="O192" s="4">
        <f>SUM(Table1_1[[#This Row],[Ticket_Revenue_INR]:[Cargo_Revenue_INR]])</f>
        <v>514445</v>
      </c>
      <c r="P192" s="4">
        <v>641508</v>
      </c>
      <c r="Q192" s="4">
        <v>1099859</v>
      </c>
      <c r="R192" s="4">
        <f>SUM(Table1_1[[#This Row],[Fuel_Cost_INR]:[Operating_Cost_INR]])</f>
        <v>1741367</v>
      </c>
      <c r="S192" s="4">
        <f>Table1_1[[#This Row],[Total_Revenue]]-Table1_1[[#This Row],[Total_Cost]]</f>
        <v>-1226922</v>
      </c>
      <c r="T192" s="9">
        <f>(Table1_1[[#This Row],[Total_Profit]]/Table1_1[[#This Row],[Total_Revenue]])</f>
        <v>-2.3849429968218177</v>
      </c>
      <c r="U192" s="5">
        <v>82</v>
      </c>
      <c r="V192" s="6" t="s">
        <v>18</v>
      </c>
      <c r="W192" s="8">
        <v>3.7</v>
      </c>
      <c r="X192" t="str" cm="1">
        <f t="array" ref="X192">_xlfn.IFS(Table1_1[[#This Row],[Customer_Rating]]&lt;3,"Poor",Table1_1[[#This Row],[Customer_Rating]]&lt;4,"Good",Table1_1[[#This Row],[Customer_Rating]]&gt;=4,"Excellent")</f>
        <v>Good</v>
      </c>
    </row>
    <row r="193" spans="1:24" x14ac:dyDescent="0.35">
      <c r="A193" s="2" t="s">
        <v>374</v>
      </c>
      <c r="B193" s="3">
        <v>45837</v>
      </c>
      <c r="C193" s="3" t="str">
        <f>TEXT(Table1_1[[#This Row],[Date]],"YYYY")</f>
        <v>2025</v>
      </c>
      <c r="D193" s="3" t="str">
        <f>TEXT(Table1_1[[#This Row],[Date]],"mmm")</f>
        <v>Jun</v>
      </c>
      <c r="E193" s="2" t="s">
        <v>36</v>
      </c>
      <c r="F193" s="2" t="str">
        <f>INDEX(IndiGo_Flight_Data!$R$2:$R$11,MATCH(Table1_1[[#This Row],[Route]],_xlfn.ANCHORARRAY(IndiGo_Flight_Data!$Q$2),0))</f>
        <v>Delhi - Bombay</v>
      </c>
      <c r="G193" s="2" t="s">
        <v>43</v>
      </c>
      <c r="H193">
        <v>168</v>
      </c>
      <c r="I193">
        <v>232</v>
      </c>
      <c r="J193">
        <f>Table1_1[[#This Row],[Seat_Capacity]]-Table1_1[[#This Row],[Passengers]]</f>
        <v>64</v>
      </c>
      <c r="K193">
        <v>72.41</v>
      </c>
      <c r="L193" t="str" cm="1">
        <f t="array" ref="L193">_xlfn.IFS(Table1_1[[#This Row],[Load_Factor_%]]&lt;60,"Low",Table1_1[[#This Row],[Load_Factor_%]]&lt;85,"Intermediate",Table1_1[[#This Row],[Load_Factor_%]]&gt;=85,"High")</f>
        <v>Intermediate</v>
      </c>
      <c r="M193" s="4">
        <v>1253802</v>
      </c>
      <c r="N193" s="4">
        <v>89370</v>
      </c>
      <c r="O193" s="4">
        <f>SUM(Table1_1[[#This Row],[Ticket_Revenue_INR]:[Cargo_Revenue_INR]])</f>
        <v>1343172</v>
      </c>
      <c r="P193" s="4">
        <v>1018014</v>
      </c>
      <c r="Q193" s="4">
        <v>1637868</v>
      </c>
      <c r="R193" s="4">
        <f>SUM(Table1_1[[#This Row],[Fuel_Cost_INR]:[Operating_Cost_INR]])</f>
        <v>2655882</v>
      </c>
      <c r="S193" s="4">
        <f>Table1_1[[#This Row],[Total_Revenue]]-Table1_1[[#This Row],[Total_Cost]]</f>
        <v>-1312710</v>
      </c>
      <c r="T193" s="9">
        <f>(Table1_1[[#This Row],[Total_Profit]]/Table1_1[[#This Row],[Total_Revenue]])</f>
        <v>-0.97732084945189446</v>
      </c>
      <c r="U193" s="5">
        <v>80</v>
      </c>
      <c r="V193" s="6" t="s">
        <v>18</v>
      </c>
      <c r="W193" s="8">
        <v>3.8</v>
      </c>
      <c r="X193" t="str" cm="1">
        <f t="array" ref="X193">_xlfn.IFS(Table1_1[[#This Row],[Customer_Rating]]&lt;3,"Poor",Table1_1[[#This Row],[Customer_Rating]]&lt;4,"Good",Table1_1[[#This Row],[Customer_Rating]]&gt;=4,"Excellent")</f>
        <v>Good</v>
      </c>
    </row>
    <row r="194" spans="1:24" x14ac:dyDescent="0.35">
      <c r="A194" s="2" t="s">
        <v>375</v>
      </c>
      <c r="B194" s="3">
        <v>45808</v>
      </c>
      <c r="C194" s="3" t="str">
        <f>TEXT(Table1_1[[#This Row],[Date]],"YYYY")</f>
        <v>2025</v>
      </c>
      <c r="D194" s="3" t="str">
        <f>TEXT(Table1_1[[#This Row],[Date]],"mmm")</f>
        <v>May</v>
      </c>
      <c r="E194" s="2" t="s">
        <v>16</v>
      </c>
      <c r="F194" s="2" t="str">
        <f>INDEX(IndiGo_Flight_Data!$R$2:$R$11,MATCH(Table1_1[[#This Row],[Route]],_xlfn.ANCHORARRAY(IndiGo_Flight_Data!$Q$2),0))</f>
        <v>Delhi - Goa</v>
      </c>
      <c r="G194" s="2" t="s">
        <v>17</v>
      </c>
      <c r="H194">
        <v>71</v>
      </c>
      <c r="I194">
        <v>78</v>
      </c>
      <c r="J194">
        <f>Table1_1[[#This Row],[Seat_Capacity]]-Table1_1[[#This Row],[Passengers]]</f>
        <v>7</v>
      </c>
      <c r="K194">
        <v>91.03</v>
      </c>
      <c r="L194" t="str" cm="1">
        <f t="array" ref="L194">_xlfn.IFS(Table1_1[[#This Row],[Load_Factor_%]]&lt;60,"Low",Table1_1[[#This Row],[Load_Factor_%]]&lt;85,"Intermediate",Table1_1[[#This Row],[Load_Factor_%]]&gt;=85,"High")</f>
        <v>High</v>
      </c>
      <c r="M194" s="4">
        <v>386839</v>
      </c>
      <c r="N194" s="4">
        <v>23478</v>
      </c>
      <c r="O194" s="4">
        <f>SUM(Table1_1[[#This Row],[Ticket_Revenue_INR]:[Cargo_Revenue_INR]])</f>
        <v>410317</v>
      </c>
      <c r="P194" s="4">
        <v>981784</v>
      </c>
      <c r="Q194" s="4">
        <v>1432405</v>
      </c>
      <c r="R194" s="4">
        <f>SUM(Table1_1[[#This Row],[Fuel_Cost_INR]:[Operating_Cost_INR]])</f>
        <v>2414189</v>
      </c>
      <c r="S194" s="4">
        <f>Table1_1[[#This Row],[Total_Revenue]]-Table1_1[[#This Row],[Total_Cost]]</f>
        <v>-2003872</v>
      </c>
      <c r="T194" s="9">
        <f>(Table1_1[[#This Row],[Total_Profit]]/Table1_1[[#This Row],[Total_Revenue]])</f>
        <v>-4.8837167360845397</v>
      </c>
      <c r="U194" s="5">
        <v>69</v>
      </c>
      <c r="V194" s="6" t="s">
        <v>18</v>
      </c>
      <c r="W194" s="8">
        <v>4.7</v>
      </c>
      <c r="X194" t="str" cm="1">
        <f t="array" ref="X194">_xlfn.IFS(Table1_1[[#This Row],[Customer_Rating]]&lt;3,"Poor",Table1_1[[#This Row],[Customer_Rating]]&lt;4,"Good",Table1_1[[#This Row],[Customer_Rating]]&gt;=4,"Excellent")</f>
        <v>Excellent</v>
      </c>
    </row>
    <row r="195" spans="1:24" x14ac:dyDescent="0.35">
      <c r="A195" s="2" t="s">
        <v>377</v>
      </c>
      <c r="B195" s="3">
        <v>45927</v>
      </c>
      <c r="C195" s="3" t="str">
        <f>TEXT(Table1_1[[#This Row],[Date]],"YYYY")</f>
        <v>2025</v>
      </c>
      <c r="D195" s="3" t="str">
        <f>TEXT(Table1_1[[#This Row],[Date]],"mmm")</f>
        <v>Sep</v>
      </c>
      <c r="E195" s="2" t="s">
        <v>29</v>
      </c>
      <c r="F195" s="2" t="str">
        <f>INDEX(IndiGo_Flight_Data!$R$2:$R$11,MATCH(Table1_1[[#This Row],[Route]],_xlfn.ANCHORARRAY(IndiGo_Flight_Data!$Q$2),0))</f>
        <v>Calacatta - Delhi</v>
      </c>
      <c r="G195" s="2" t="s">
        <v>24</v>
      </c>
      <c r="H195">
        <v>110</v>
      </c>
      <c r="I195">
        <v>180</v>
      </c>
      <c r="J195">
        <f>Table1_1[[#This Row],[Seat_Capacity]]-Table1_1[[#This Row],[Passengers]]</f>
        <v>70</v>
      </c>
      <c r="K195">
        <v>61.11</v>
      </c>
      <c r="L195" t="str" cm="1">
        <f t="array" ref="L195">_xlfn.IFS(Table1_1[[#This Row],[Load_Factor_%]]&lt;60,"Low",Table1_1[[#This Row],[Load_Factor_%]]&lt;85,"Intermediate",Table1_1[[#This Row],[Load_Factor_%]]&gt;=85,"High")</f>
        <v>Intermediate</v>
      </c>
      <c r="M195" s="4">
        <v>391892</v>
      </c>
      <c r="N195" s="4">
        <v>111038</v>
      </c>
      <c r="O195" s="4">
        <f>SUM(Table1_1[[#This Row],[Ticket_Revenue_INR]:[Cargo_Revenue_INR]])</f>
        <v>502930</v>
      </c>
      <c r="P195" s="4">
        <v>887075</v>
      </c>
      <c r="Q195" s="4">
        <v>1118121</v>
      </c>
      <c r="R195" s="4">
        <f>SUM(Table1_1[[#This Row],[Fuel_Cost_INR]:[Operating_Cost_INR]])</f>
        <v>2005196</v>
      </c>
      <c r="S195" s="4">
        <f>Table1_1[[#This Row],[Total_Revenue]]-Table1_1[[#This Row],[Total_Cost]]</f>
        <v>-1502266</v>
      </c>
      <c r="T195" s="9">
        <f>(Table1_1[[#This Row],[Total_Profit]]/Table1_1[[#This Row],[Total_Revenue]])</f>
        <v>-2.9870280158272524</v>
      </c>
      <c r="U195" s="5">
        <v>72</v>
      </c>
      <c r="V195" s="6" t="s">
        <v>18</v>
      </c>
      <c r="W195" s="8">
        <v>3.8</v>
      </c>
      <c r="X195" t="str" cm="1">
        <f t="array" ref="X195">_xlfn.IFS(Table1_1[[#This Row],[Customer_Rating]]&lt;3,"Poor",Table1_1[[#This Row],[Customer_Rating]]&lt;4,"Good",Table1_1[[#This Row],[Customer_Rating]]&gt;=4,"Excellent")</f>
        <v>Good</v>
      </c>
    </row>
    <row r="196" spans="1:24" x14ac:dyDescent="0.35">
      <c r="A196" s="2" t="s">
        <v>378</v>
      </c>
      <c r="B196" s="3">
        <v>45696</v>
      </c>
      <c r="C196" s="3" t="str">
        <f>TEXT(Table1_1[[#This Row],[Date]],"YYYY")</f>
        <v>2025</v>
      </c>
      <c r="D196" s="3" t="str">
        <f>TEXT(Table1_1[[#This Row],[Date]],"mmm")</f>
        <v>Feb</v>
      </c>
      <c r="E196" s="2" t="s">
        <v>21</v>
      </c>
      <c r="F196" s="2" t="str">
        <f>INDEX(IndiGo_Flight_Data!$R$2:$R$11,MATCH(Table1_1[[#This Row],[Route]],_xlfn.ANCHORARRAY(IndiGo_Flight_Data!$Q$2),0))</f>
        <v>Bengaluru - Hyderabad</v>
      </c>
      <c r="G196" s="2" t="s">
        <v>17</v>
      </c>
      <c r="H196">
        <v>76</v>
      </c>
      <c r="I196">
        <v>78</v>
      </c>
      <c r="J196">
        <f>Table1_1[[#This Row],[Seat_Capacity]]-Table1_1[[#This Row],[Passengers]]</f>
        <v>2</v>
      </c>
      <c r="K196">
        <v>97.44</v>
      </c>
      <c r="L196" t="str" cm="1">
        <f t="array" ref="L196">_xlfn.IFS(Table1_1[[#This Row],[Load_Factor_%]]&lt;60,"Low",Table1_1[[#This Row],[Load_Factor_%]]&lt;85,"Intermediate",Table1_1[[#This Row],[Load_Factor_%]]&gt;=85,"High")</f>
        <v>High</v>
      </c>
      <c r="M196" s="4">
        <v>317265</v>
      </c>
      <c r="N196" s="4">
        <v>106512</v>
      </c>
      <c r="O196" s="4">
        <f>SUM(Table1_1[[#This Row],[Ticket_Revenue_INR]:[Cargo_Revenue_INR]])</f>
        <v>423777</v>
      </c>
      <c r="P196" s="4">
        <v>293877</v>
      </c>
      <c r="Q196" s="4">
        <v>717692</v>
      </c>
      <c r="R196" s="4">
        <f>SUM(Table1_1[[#This Row],[Fuel_Cost_INR]:[Operating_Cost_INR]])</f>
        <v>1011569</v>
      </c>
      <c r="S196" s="4">
        <f>Table1_1[[#This Row],[Total_Revenue]]-Table1_1[[#This Row],[Total_Cost]]</f>
        <v>-587792</v>
      </c>
      <c r="T196" s="9">
        <f>(Table1_1[[#This Row],[Total_Profit]]/Table1_1[[#This Row],[Total_Revenue]])</f>
        <v>-1.3870313867906943</v>
      </c>
      <c r="U196" s="5">
        <v>3</v>
      </c>
      <c r="V196" s="6" t="s">
        <v>33</v>
      </c>
      <c r="W196" s="8">
        <v>4.5999999999999996</v>
      </c>
      <c r="X196" t="str" cm="1">
        <f t="array" ref="X196">_xlfn.IFS(Table1_1[[#This Row],[Customer_Rating]]&lt;3,"Poor",Table1_1[[#This Row],[Customer_Rating]]&lt;4,"Good",Table1_1[[#This Row],[Customer_Rating]]&gt;=4,"Excellent")</f>
        <v>Excellent</v>
      </c>
    </row>
    <row r="197" spans="1:24" x14ac:dyDescent="0.35">
      <c r="A197" s="2" t="s">
        <v>380</v>
      </c>
      <c r="B197" s="3">
        <v>45842</v>
      </c>
      <c r="C197" s="3" t="str">
        <f>TEXT(Table1_1[[#This Row],[Date]],"YYYY")</f>
        <v>2025</v>
      </c>
      <c r="D197" s="3" t="str">
        <f>TEXT(Table1_1[[#This Row],[Date]],"mmm")</f>
        <v>Jul</v>
      </c>
      <c r="E197" s="2" t="s">
        <v>16</v>
      </c>
      <c r="F197" s="2" t="str">
        <f>INDEX(IndiGo_Flight_Data!$R$2:$R$11,MATCH(Table1_1[[#This Row],[Route]],_xlfn.ANCHORARRAY(IndiGo_Flight_Data!$Q$2),0))</f>
        <v>Delhi - Goa</v>
      </c>
      <c r="G197" s="2" t="s">
        <v>17</v>
      </c>
      <c r="H197">
        <v>68</v>
      </c>
      <c r="I197">
        <v>78</v>
      </c>
      <c r="J197">
        <f>Table1_1[[#This Row],[Seat_Capacity]]-Table1_1[[#This Row],[Passengers]]</f>
        <v>10</v>
      </c>
      <c r="K197">
        <v>87.18</v>
      </c>
      <c r="L197" t="str" cm="1">
        <f t="array" ref="L197">_xlfn.IFS(Table1_1[[#This Row],[Load_Factor_%]]&lt;60,"Low",Table1_1[[#This Row],[Load_Factor_%]]&lt;85,"Intermediate",Table1_1[[#This Row],[Load_Factor_%]]&gt;=85,"High")</f>
        <v>High</v>
      </c>
      <c r="M197" s="4">
        <v>365649</v>
      </c>
      <c r="N197" s="4">
        <v>76202</v>
      </c>
      <c r="O197" s="4">
        <f>SUM(Table1_1[[#This Row],[Ticket_Revenue_INR]:[Cargo_Revenue_INR]])</f>
        <v>441851</v>
      </c>
      <c r="P197" s="4">
        <v>1057521</v>
      </c>
      <c r="Q197" s="4">
        <v>1679725</v>
      </c>
      <c r="R197" s="4">
        <f>SUM(Table1_1[[#This Row],[Fuel_Cost_INR]:[Operating_Cost_INR]])</f>
        <v>2737246</v>
      </c>
      <c r="S197" s="4">
        <f>Table1_1[[#This Row],[Total_Revenue]]-Table1_1[[#This Row],[Total_Cost]]</f>
        <v>-2295395</v>
      </c>
      <c r="T197" s="9">
        <f>(Table1_1[[#This Row],[Total_Profit]]/Table1_1[[#This Row],[Total_Revenue]])</f>
        <v>-5.1949525971424757</v>
      </c>
      <c r="U197" s="5">
        <v>27</v>
      </c>
      <c r="V197" s="6" t="s">
        <v>18</v>
      </c>
      <c r="W197" s="8">
        <v>4.5999999999999996</v>
      </c>
      <c r="X197" t="str" cm="1">
        <f t="array" ref="X197">_xlfn.IFS(Table1_1[[#This Row],[Customer_Rating]]&lt;3,"Poor",Table1_1[[#This Row],[Customer_Rating]]&lt;4,"Good",Table1_1[[#This Row],[Customer_Rating]]&gt;=4,"Excellent")</f>
        <v>Excellent</v>
      </c>
    </row>
    <row r="198" spans="1:24" x14ac:dyDescent="0.35">
      <c r="A198" s="2" t="s">
        <v>381</v>
      </c>
      <c r="B198" s="3">
        <v>45693</v>
      </c>
      <c r="C198" s="3" t="str">
        <f>TEXT(Table1_1[[#This Row],[Date]],"YYYY")</f>
        <v>2025</v>
      </c>
      <c r="D198" s="3" t="str">
        <f>TEXT(Table1_1[[#This Row],[Date]],"mmm")</f>
        <v>Feb</v>
      </c>
      <c r="E198" s="2" t="s">
        <v>16</v>
      </c>
      <c r="F198" s="2" t="str">
        <f>INDEX(IndiGo_Flight_Data!$R$2:$R$11,MATCH(Table1_1[[#This Row],[Route]],_xlfn.ANCHORARRAY(IndiGo_Flight_Data!$Q$2),0))</f>
        <v>Delhi - Goa</v>
      </c>
      <c r="G198" s="2" t="s">
        <v>43</v>
      </c>
      <c r="H198">
        <v>177</v>
      </c>
      <c r="I198">
        <v>232</v>
      </c>
      <c r="J198">
        <f>Table1_1[[#This Row],[Seat_Capacity]]-Table1_1[[#This Row],[Passengers]]</f>
        <v>55</v>
      </c>
      <c r="K198">
        <v>76.290000000000006</v>
      </c>
      <c r="L198" t="str" cm="1">
        <f t="array" ref="L198">_xlfn.IFS(Table1_1[[#This Row],[Load_Factor_%]]&lt;60,"Low",Table1_1[[#This Row],[Load_Factor_%]]&lt;85,"Intermediate",Table1_1[[#This Row],[Load_Factor_%]]&gt;=85,"High")</f>
        <v>Intermediate</v>
      </c>
      <c r="M198" s="4">
        <v>650888</v>
      </c>
      <c r="N198" s="4">
        <v>117020</v>
      </c>
      <c r="O198" s="4">
        <f>SUM(Table1_1[[#This Row],[Ticket_Revenue_INR]:[Cargo_Revenue_INR]])</f>
        <v>767908</v>
      </c>
      <c r="P198" s="4">
        <v>799128</v>
      </c>
      <c r="Q198" s="4">
        <v>906460</v>
      </c>
      <c r="R198" s="4">
        <f>SUM(Table1_1[[#This Row],[Fuel_Cost_INR]:[Operating_Cost_INR]])</f>
        <v>1705588</v>
      </c>
      <c r="S198" s="4">
        <f>Table1_1[[#This Row],[Total_Revenue]]-Table1_1[[#This Row],[Total_Cost]]</f>
        <v>-937680</v>
      </c>
      <c r="T198" s="9">
        <f>(Table1_1[[#This Row],[Total_Profit]]/Table1_1[[#This Row],[Total_Revenue]])</f>
        <v>-1.2210837756606261</v>
      </c>
      <c r="U198" s="5">
        <v>2</v>
      </c>
      <c r="V198" s="6" t="s">
        <v>33</v>
      </c>
      <c r="W198" s="8">
        <v>3.4</v>
      </c>
      <c r="X198" t="str" cm="1">
        <f t="array" ref="X198">_xlfn.IFS(Table1_1[[#This Row],[Customer_Rating]]&lt;3,"Poor",Table1_1[[#This Row],[Customer_Rating]]&lt;4,"Good",Table1_1[[#This Row],[Customer_Rating]]&gt;=4,"Excellent")</f>
        <v>Good</v>
      </c>
    </row>
    <row r="199" spans="1:24" x14ac:dyDescent="0.35">
      <c r="A199" s="2" t="s">
        <v>383</v>
      </c>
      <c r="B199" s="3">
        <v>45949</v>
      </c>
      <c r="C199" s="3" t="str">
        <f>TEXT(Table1_1[[#This Row],[Date]],"YYYY")</f>
        <v>2025</v>
      </c>
      <c r="D199" s="3" t="str">
        <f>TEXT(Table1_1[[#This Row],[Date]],"mmm")</f>
        <v>Oct</v>
      </c>
      <c r="E199" s="2" t="s">
        <v>42</v>
      </c>
      <c r="F199" s="2" t="str">
        <f>INDEX(IndiGo_Flight_Data!$R$2:$R$11,MATCH(Table1_1[[#This Row],[Route]],_xlfn.ANCHORARRAY(IndiGo_Flight_Data!$Q$2),0))</f>
        <v>Bombay - Hyderabad</v>
      </c>
      <c r="G199" s="2" t="s">
        <v>24</v>
      </c>
      <c r="H199">
        <v>150</v>
      </c>
      <c r="I199">
        <v>180</v>
      </c>
      <c r="J199">
        <f>Table1_1[[#This Row],[Seat_Capacity]]-Table1_1[[#This Row],[Passengers]]</f>
        <v>30</v>
      </c>
      <c r="K199">
        <v>83.33</v>
      </c>
      <c r="L199" t="str" cm="1">
        <f t="array" ref="L199">_xlfn.IFS(Table1_1[[#This Row],[Load_Factor_%]]&lt;60,"Low",Table1_1[[#This Row],[Load_Factor_%]]&lt;85,"Intermediate",Table1_1[[#This Row],[Load_Factor_%]]&gt;=85,"High")</f>
        <v>Intermediate</v>
      </c>
      <c r="M199" s="4">
        <v>729644</v>
      </c>
      <c r="N199" s="4">
        <v>120876</v>
      </c>
      <c r="O199" s="4">
        <f>SUM(Table1_1[[#This Row],[Ticket_Revenue_INR]:[Cargo_Revenue_INR]])</f>
        <v>850520</v>
      </c>
      <c r="P199" s="4">
        <v>632105</v>
      </c>
      <c r="Q199" s="4">
        <v>784286</v>
      </c>
      <c r="R199" s="4">
        <f>SUM(Table1_1[[#This Row],[Fuel_Cost_INR]:[Operating_Cost_INR]])</f>
        <v>1416391</v>
      </c>
      <c r="S199" s="4">
        <f>Table1_1[[#This Row],[Total_Revenue]]-Table1_1[[#This Row],[Total_Cost]]</f>
        <v>-565871</v>
      </c>
      <c r="T199" s="9">
        <f>(Table1_1[[#This Row],[Total_Profit]]/Table1_1[[#This Row],[Total_Revenue]])</f>
        <v>-0.66532356675915916</v>
      </c>
      <c r="U199" s="5">
        <v>88</v>
      </c>
      <c r="V199" s="6" t="s">
        <v>18</v>
      </c>
      <c r="W199" s="8">
        <v>4</v>
      </c>
      <c r="X199" t="str" cm="1">
        <f t="array" ref="X199">_xlfn.IFS(Table1_1[[#This Row],[Customer_Rating]]&lt;3,"Poor",Table1_1[[#This Row],[Customer_Rating]]&lt;4,"Good",Table1_1[[#This Row],[Customer_Rating]]&gt;=4,"Excellent")</f>
        <v>Excellent</v>
      </c>
    </row>
    <row r="200" spans="1:24" x14ac:dyDescent="0.35">
      <c r="A200" s="2" t="s">
        <v>384</v>
      </c>
      <c r="B200" s="3">
        <v>45987</v>
      </c>
      <c r="C200" s="3" t="str">
        <f>TEXT(Table1_1[[#This Row],[Date]],"YYYY")</f>
        <v>2025</v>
      </c>
      <c r="D200" s="3" t="str">
        <f>TEXT(Table1_1[[#This Row],[Date]],"mmm")</f>
        <v>Nov</v>
      </c>
      <c r="E200" s="2" t="s">
        <v>21</v>
      </c>
      <c r="F200" s="2" t="str">
        <f>INDEX(IndiGo_Flight_Data!$R$2:$R$11,MATCH(Table1_1[[#This Row],[Route]],_xlfn.ANCHORARRAY(IndiGo_Flight_Data!$Q$2),0))</f>
        <v>Bengaluru - Hyderabad</v>
      </c>
      <c r="G200" s="2" t="s">
        <v>24</v>
      </c>
      <c r="H200">
        <v>166</v>
      </c>
      <c r="I200">
        <v>180</v>
      </c>
      <c r="J200">
        <f>Table1_1[[#This Row],[Seat_Capacity]]-Table1_1[[#This Row],[Passengers]]</f>
        <v>14</v>
      </c>
      <c r="K200">
        <v>92.22</v>
      </c>
      <c r="L200" t="str" cm="1">
        <f t="array" ref="L200">_xlfn.IFS(Table1_1[[#This Row],[Load_Factor_%]]&lt;60,"Low",Table1_1[[#This Row],[Load_Factor_%]]&lt;85,"Intermediate",Table1_1[[#This Row],[Load_Factor_%]]&gt;=85,"High")</f>
        <v>High</v>
      </c>
      <c r="M200" s="4">
        <v>1433089</v>
      </c>
      <c r="N200" s="4">
        <v>75615</v>
      </c>
      <c r="O200" s="4">
        <f>SUM(Table1_1[[#This Row],[Ticket_Revenue_INR]:[Cargo_Revenue_INR]])</f>
        <v>1508704</v>
      </c>
      <c r="P200" s="4">
        <v>963344</v>
      </c>
      <c r="Q200" s="4">
        <v>1584411</v>
      </c>
      <c r="R200" s="4">
        <f>SUM(Table1_1[[#This Row],[Fuel_Cost_INR]:[Operating_Cost_INR]])</f>
        <v>2547755</v>
      </c>
      <c r="S200" s="4">
        <f>Table1_1[[#This Row],[Total_Revenue]]-Table1_1[[#This Row],[Total_Cost]]</f>
        <v>-1039051</v>
      </c>
      <c r="T200" s="9">
        <f>(Table1_1[[#This Row],[Total_Profit]]/Table1_1[[#This Row],[Total_Revenue]])</f>
        <v>-0.68870434492120391</v>
      </c>
      <c r="U200" s="5">
        <v>29</v>
      </c>
      <c r="V200" s="6" t="s">
        <v>18</v>
      </c>
      <c r="W200" s="8">
        <v>3.9</v>
      </c>
      <c r="X200" t="str" cm="1">
        <f t="array" ref="X200">_xlfn.IFS(Table1_1[[#This Row],[Customer_Rating]]&lt;3,"Poor",Table1_1[[#This Row],[Customer_Rating]]&lt;4,"Good",Table1_1[[#This Row],[Customer_Rating]]&gt;=4,"Excellent")</f>
        <v>Good</v>
      </c>
    </row>
    <row r="201" spans="1:24" x14ac:dyDescent="0.35">
      <c r="A201" s="2" t="s">
        <v>385</v>
      </c>
      <c r="B201" s="3">
        <v>45801</v>
      </c>
      <c r="C201" s="3" t="str">
        <f>TEXT(Table1_1[[#This Row],[Date]],"YYYY")</f>
        <v>2025</v>
      </c>
      <c r="D201" s="3" t="str">
        <f>TEXT(Table1_1[[#This Row],[Date]],"mmm")</f>
        <v>May</v>
      </c>
      <c r="E201" s="2" t="s">
        <v>29</v>
      </c>
      <c r="F201" s="2" t="str">
        <f>INDEX(IndiGo_Flight_Data!$R$2:$R$11,MATCH(Table1_1[[#This Row],[Route]],_xlfn.ANCHORARRAY(IndiGo_Flight_Data!$Q$2),0))</f>
        <v>Calacatta - Delhi</v>
      </c>
      <c r="G201" s="2" t="s">
        <v>17</v>
      </c>
      <c r="H201">
        <v>53</v>
      </c>
      <c r="I201">
        <v>78</v>
      </c>
      <c r="J201">
        <f>Table1_1[[#This Row],[Seat_Capacity]]-Table1_1[[#This Row],[Passengers]]</f>
        <v>25</v>
      </c>
      <c r="K201">
        <v>67.95</v>
      </c>
      <c r="L201" t="str" cm="1">
        <f t="array" ref="L201">_xlfn.IFS(Table1_1[[#This Row],[Load_Factor_%]]&lt;60,"Low",Table1_1[[#This Row],[Load_Factor_%]]&lt;85,"Intermediate",Table1_1[[#This Row],[Load_Factor_%]]&gt;=85,"High")</f>
        <v>Intermediate</v>
      </c>
      <c r="M201" s="4">
        <v>190739</v>
      </c>
      <c r="N201" s="4">
        <v>101373</v>
      </c>
      <c r="O201" s="4">
        <f>SUM(Table1_1[[#This Row],[Ticket_Revenue_INR]:[Cargo_Revenue_INR]])</f>
        <v>292112</v>
      </c>
      <c r="P201" s="4">
        <v>529347</v>
      </c>
      <c r="Q201" s="4">
        <v>1185919</v>
      </c>
      <c r="R201" s="4">
        <f>SUM(Table1_1[[#This Row],[Fuel_Cost_INR]:[Operating_Cost_INR]])</f>
        <v>1715266</v>
      </c>
      <c r="S201" s="4">
        <f>Table1_1[[#This Row],[Total_Revenue]]-Table1_1[[#This Row],[Total_Cost]]</f>
        <v>-1423154</v>
      </c>
      <c r="T201" s="9">
        <f>(Table1_1[[#This Row],[Total_Profit]]/Table1_1[[#This Row],[Total_Revenue]])</f>
        <v>-4.871946376732212</v>
      </c>
      <c r="U201" s="5">
        <v>11</v>
      </c>
      <c r="V201" s="6" t="s">
        <v>33</v>
      </c>
      <c r="W201" s="8">
        <v>3.7</v>
      </c>
      <c r="X201" t="str" cm="1">
        <f t="array" ref="X201">_xlfn.IFS(Table1_1[[#This Row],[Customer_Rating]]&lt;3,"Poor",Table1_1[[#This Row],[Customer_Rating]]&lt;4,"Good",Table1_1[[#This Row],[Customer_Rating]]&gt;=4,"Excellent")</f>
        <v>Good</v>
      </c>
    </row>
    <row r="202" spans="1:24" x14ac:dyDescent="0.35">
      <c r="A202" s="2" t="s">
        <v>386</v>
      </c>
      <c r="B202" s="3">
        <v>45708</v>
      </c>
      <c r="C202" s="3" t="str">
        <f>TEXT(Table1_1[[#This Row],[Date]],"YYYY")</f>
        <v>2025</v>
      </c>
      <c r="D202" s="3" t="str">
        <f>TEXT(Table1_1[[#This Row],[Date]],"mmm")</f>
        <v>Feb</v>
      </c>
      <c r="E202" s="2" t="s">
        <v>59</v>
      </c>
      <c r="F202" s="2" t="str">
        <f>INDEX(IndiGo_Flight_Data!$R$2:$R$11,MATCH(Table1_1[[#This Row],[Route]],_xlfn.ANCHORARRAY(IndiGo_Flight_Data!$Q$2),0))</f>
        <v>Bengaluru - Bombay</v>
      </c>
      <c r="G202" s="2" t="s">
        <v>17</v>
      </c>
      <c r="H202">
        <v>74</v>
      </c>
      <c r="I202">
        <v>78</v>
      </c>
      <c r="J202">
        <f>Table1_1[[#This Row],[Seat_Capacity]]-Table1_1[[#This Row],[Passengers]]</f>
        <v>4</v>
      </c>
      <c r="K202">
        <v>94.87</v>
      </c>
      <c r="L202" t="str" cm="1">
        <f t="array" ref="L202">_xlfn.IFS(Table1_1[[#This Row],[Load_Factor_%]]&lt;60,"Low",Table1_1[[#This Row],[Load_Factor_%]]&lt;85,"Intermediate",Table1_1[[#This Row],[Load_Factor_%]]&gt;=85,"High")</f>
        <v>High</v>
      </c>
      <c r="M202" s="4">
        <v>441417</v>
      </c>
      <c r="N202" s="4">
        <v>129254</v>
      </c>
      <c r="O202" s="4">
        <f>SUM(Table1_1[[#This Row],[Ticket_Revenue_INR]:[Cargo_Revenue_INR]])</f>
        <v>570671</v>
      </c>
      <c r="P202" s="4">
        <v>1150375</v>
      </c>
      <c r="Q202" s="4">
        <v>1606664</v>
      </c>
      <c r="R202" s="4">
        <f>SUM(Table1_1[[#This Row],[Fuel_Cost_INR]:[Operating_Cost_INR]])</f>
        <v>2757039</v>
      </c>
      <c r="S202" s="4">
        <f>Table1_1[[#This Row],[Total_Revenue]]-Table1_1[[#This Row],[Total_Cost]]</f>
        <v>-2186368</v>
      </c>
      <c r="T202" s="9">
        <f>(Table1_1[[#This Row],[Total_Profit]]/Table1_1[[#This Row],[Total_Revenue]])</f>
        <v>-3.8312232442160195</v>
      </c>
      <c r="U202" s="5">
        <v>14</v>
      </c>
      <c r="V202" s="6" t="s">
        <v>33</v>
      </c>
      <c r="W202" s="8">
        <v>4.0999999999999996</v>
      </c>
      <c r="X202" t="str" cm="1">
        <f t="array" ref="X202">_xlfn.IFS(Table1_1[[#This Row],[Customer_Rating]]&lt;3,"Poor",Table1_1[[#This Row],[Customer_Rating]]&lt;4,"Good",Table1_1[[#This Row],[Customer_Rating]]&gt;=4,"Excellent")</f>
        <v>Excellent</v>
      </c>
    </row>
    <row r="203" spans="1:24" x14ac:dyDescent="0.35">
      <c r="A203" s="2" t="s">
        <v>388</v>
      </c>
      <c r="B203" s="3">
        <v>45804</v>
      </c>
      <c r="C203" s="3" t="str">
        <f>TEXT(Table1_1[[#This Row],[Date]],"YYYY")</f>
        <v>2025</v>
      </c>
      <c r="D203" s="3" t="str">
        <f>TEXT(Table1_1[[#This Row],[Date]],"mmm")</f>
        <v>May</v>
      </c>
      <c r="E203" s="2" t="s">
        <v>76</v>
      </c>
      <c r="F203" s="2" t="str">
        <f>INDEX(IndiGo_Flight_Data!$R$2:$R$11,MATCH(Table1_1[[#This Row],[Route]],_xlfn.ANCHORARRAY(IndiGo_Flight_Data!$Q$2),0))</f>
        <v>Madras - Delhi</v>
      </c>
      <c r="G203" s="2" t="s">
        <v>24</v>
      </c>
      <c r="H203">
        <v>136</v>
      </c>
      <c r="I203">
        <v>180</v>
      </c>
      <c r="J203">
        <f>Table1_1[[#This Row],[Seat_Capacity]]-Table1_1[[#This Row],[Passengers]]</f>
        <v>44</v>
      </c>
      <c r="K203">
        <v>75.56</v>
      </c>
      <c r="L203" t="str" cm="1">
        <f t="array" ref="L203">_xlfn.IFS(Table1_1[[#This Row],[Load_Factor_%]]&lt;60,"Low",Table1_1[[#This Row],[Load_Factor_%]]&lt;85,"Intermediate",Table1_1[[#This Row],[Load_Factor_%]]&gt;=85,"High")</f>
        <v>Intermediate</v>
      </c>
      <c r="M203" s="4">
        <v>1044062</v>
      </c>
      <c r="N203" s="4">
        <v>59430</v>
      </c>
      <c r="O203" s="4">
        <f>SUM(Table1_1[[#This Row],[Ticket_Revenue_INR]:[Cargo_Revenue_INR]])</f>
        <v>1103492</v>
      </c>
      <c r="P203" s="4">
        <v>1142128</v>
      </c>
      <c r="Q203" s="4">
        <v>1510868</v>
      </c>
      <c r="R203" s="4">
        <f>SUM(Table1_1[[#This Row],[Fuel_Cost_INR]:[Operating_Cost_INR]])</f>
        <v>2652996</v>
      </c>
      <c r="S203" s="4">
        <f>Table1_1[[#This Row],[Total_Revenue]]-Table1_1[[#This Row],[Total_Cost]]</f>
        <v>-1549504</v>
      </c>
      <c r="T203" s="9">
        <f>(Table1_1[[#This Row],[Total_Profit]]/Table1_1[[#This Row],[Total_Revenue]])</f>
        <v>-1.4041823592740137</v>
      </c>
      <c r="U203" s="5">
        <v>88</v>
      </c>
      <c r="V203" s="6" t="s">
        <v>18</v>
      </c>
      <c r="W203" s="8">
        <v>4.0999999999999996</v>
      </c>
      <c r="X203" t="str" cm="1">
        <f t="array" ref="X203">_xlfn.IFS(Table1_1[[#This Row],[Customer_Rating]]&lt;3,"Poor",Table1_1[[#This Row],[Customer_Rating]]&lt;4,"Good",Table1_1[[#This Row],[Customer_Rating]]&gt;=4,"Excellent")</f>
        <v>Excellent</v>
      </c>
    </row>
    <row r="204" spans="1:24" x14ac:dyDescent="0.35">
      <c r="A204" s="2" t="s">
        <v>390</v>
      </c>
      <c r="B204" s="3">
        <v>45756</v>
      </c>
      <c r="C204" s="3" t="str">
        <f>TEXT(Table1_1[[#This Row],[Date]],"YYYY")</f>
        <v>2025</v>
      </c>
      <c r="D204" s="3" t="str">
        <f>TEXT(Table1_1[[#This Row],[Date]],"mmm")</f>
        <v>Apr</v>
      </c>
      <c r="E204" s="2" t="s">
        <v>76</v>
      </c>
      <c r="F204" s="2" t="str">
        <f>INDEX(IndiGo_Flight_Data!$R$2:$R$11,MATCH(Table1_1[[#This Row],[Route]],_xlfn.ANCHORARRAY(IndiGo_Flight_Data!$Q$2),0))</f>
        <v>Madras - Delhi</v>
      </c>
      <c r="G204" s="2" t="s">
        <v>43</v>
      </c>
      <c r="H204">
        <v>185</v>
      </c>
      <c r="I204">
        <v>232</v>
      </c>
      <c r="J204">
        <f>Table1_1[[#This Row],[Seat_Capacity]]-Table1_1[[#This Row],[Passengers]]</f>
        <v>47</v>
      </c>
      <c r="K204">
        <v>79.739999999999995</v>
      </c>
      <c r="L204" t="str" cm="1">
        <f t="array" ref="L204">_xlfn.IFS(Table1_1[[#This Row],[Load_Factor_%]]&lt;60,"Low",Table1_1[[#This Row],[Load_Factor_%]]&lt;85,"Intermediate",Table1_1[[#This Row],[Load_Factor_%]]&gt;=85,"High")</f>
        <v>Intermediate</v>
      </c>
      <c r="M204" s="4">
        <v>1500262</v>
      </c>
      <c r="N204" s="4">
        <v>49946</v>
      </c>
      <c r="O204" s="4">
        <f>SUM(Table1_1[[#This Row],[Ticket_Revenue_INR]:[Cargo_Revenue_INR]])</f>
        <v>1550208</v>
      </c>
      <c r="P204" s="4">
        <v>405976</v>
      </c>
      <c r="Q204" s="4">
        <v>754479</v>
      </c>
      <c r="R204" s="4">
        <f>SUM(Table1_1[[#This Row],[Fuel_Cost_INR]:[Operating_Cost_INR]])</f>
        <v>1160455</v>
      </c>
      <c r="S204" s="4">
        <f>Table1_1[[#This Row],[Total_Revenue]]-Table1_1[[#This Row],[Total_Cost]]</f>
        <v>389753</v>
      </c>
      <c r="T204" s="9">
        <f>(Table1_1[[#This Row],[Total_Profit]]/Table1_1[[#This Row],[Total_Revenue]])</f>
        <v>0.25141980947072912</v>
      </c>
      <c r="U204" s="5">
        <v>73</v>
      </c>
      <c r="V204" s="6" t="s">
        <v>18</v>
      </c>
      <c r="W204" s="8">
        <v>4.3</v>
      </c>
      <c r="X204" t="str" cm="1">
        <f t="array" ref="X204">_xlfn.IFS(Table1_1[[#This Row],[Customer_Rating]]&lt;3,"Poor",Table1_1[[#This Row],[Customer_Rating]]&lt;4,"Good",Table1_1[[#This Row],[Customer_Rating]]&gt;=4,"Excellent")</f>
        <v>Excellent</v>
      </c>
    </row>
    <row r="205" spans="1:24" x14ac:dyDescent="0.35">
      <c r="A205" s="2" t="s">
        <v>392</v>
      </c>
      <c r="B205" s="3">
        <v>45870</v>
      </c>
      <c r="C205" s="3" t="str">
        <f>TEXT(Table1_1[[#This Row],[Date]],"YYYY")</f>
        <v>2025</v>
      </c>
      <c r="D205" s="3" t="str">
        <f>TEXT(Table1_1[[#This Row],[Date]],"mmm")</f>
        <v>Aug</v>
      </c>
      <c r="E205" s="2" t="s">
        <v>16</v>
      </c>
      <c r="F205" s="2" t="str">
        <f>INDEX(IndiGo_Flight_Data!$R$2:$R$11,MATCH(Table1_1[[#This Row],[Route]],_xlfn.ANCHORARRAY(IndiGo_Flight_Data!$Q$2),0))</f>
        <v>Delhi - Goa</v>
      </c>
      <c r="G205" s="2" t="s">
        <v>24</v>
      </c>
      <c r="H205">
        <v>146</v>
      </c>
      <c r="I205">
        <v>180</v>
      </c>
      <c r="J205">
        <f>Table1_1[[#This Row],[Seat_Capacity]]-Table1_1[[#This Row],[Passengers]]</f>
        <v>34</v>
      </c>
      <c r="K205">
        <v>81.11</v>
      </c>
      <c r="L205" t="str" cm="1">
        <f t="array" ref="L205">_xlfn.IFS(Table1_1[[#This Row],[Load_Factor_%]]&lt;60,"Low",Table1_1[[#This Row],[Load_Factor_%]]&lt;85,"Intermediate",Table1_1[[#This Row],[Load_Factor_%]]&gt;=85,"High")</f>
        <v>Intermediate</v>
      </c>
      <c r="M205" s="4">
        <v>750863</v>
      </c>
      <c r="N205" s="4">
        <v>119750</v>
      </c>
      <c r="O205" s="4">
        <f>SUM(Table1_1[[#This Row],[Ticket_Revenue_INR]:[Cargo_Revenue_INR]])</f>
        <v>870613</v>
      </c>
      <c r="P205" s="4">
        <v>278601</v>
      </c>
      <c r="Q205" s="4">
        <v>929685</v>
      </c>
      <c r="R205" s="4">
        <f>SUM(Table1_1[[#This Row],[Fuel_Cost_INR]:[Operating_Cost_INR]])</f>
        <v>1208286</v>
      </c>
      <c r="S205" s="4">
        <f>Table1_1[[#This Row],[Total_Revenue]]-Table1_1[[#This Row],[Total_Cost]]</f>
        <v>-337673</v>
      </c>
      <c r="T205" s="9">
        <f>(Table1_1[[#This Row],[Total_Profit]]/Table1_1[[#This Row],[Total_Revenue]])</f>
        <v>-0.38785660218719453</v>
      </c>
      <c r="U205" s="5">
        <v>56</v>
      </c>
      <c r="V205" s="6" t="s">
        <v>18</v>
      </c>
      <c r="W205" s="8">
        <v>4.3</v>
      </c>
      <c r="X205" t="str" cm="1">
        <f t="array" ref="X205">_xlfn.IFS(Table1_1[[#This Row],[Customer_Rating]]&lt;3,"Poor",Table1_1[[#This Row],[Customer_Rating]]&lt;4,"Good",Table1_1[[#This Row],[Customer_Rating]]&gt;=4,"Excellent")</f>
        <v>Excellent</v>
      </c>
    </row>
    <row r="206" spans="1:24" x14ac:dyDescent="0.35">
      <c r="A206" s="2" t="s">
        <v>394</v>
      </c>
      <c r="B206" s="3">
        <v>45784</v>
      </c>
      <c r="C206" s="3" t="str">
        <f>TEXT(Table1_1[[#This Row],[Date]],"YYYY")</f>
        <v>2025</v>
      </c>
      <c r="D206" s="3" t="str">
        <f>TEXT(Table1_1[[#This Row],[Date]],"mmm")</f>
        <v>May</v>
      </c>
      <c r="E206" s="2" t="s">
        <v>39</v>
      </c>
      <c r="F206" s="2" t="str">
        <f>INDEX(IndiGo_Flight_Data!$R$2:$R$11,MATCH(Table1_1[[#This Row],[Route]],_xlfn.ANCHORARRAY(IndiGo_Flight_Data!$Q$2),0))</f>
        <v>Bengaluru - Delhi</v>
      </c>
      <c r="G206" s="2" t="s">
        <v>24</v>
      </c>
      <c r="H206">
        <v>148</v>
      </c>
      <c r="I206">
        <v>180</v>
      </c>
      <c r="J206">
        <f>Table1_1[[#This Row],[Seat_Capacity]]-Table1_1[[#This Row],[Passengers]]</f>
        <v>32</v>
      </c>
      <c r="K206">
        <v>82.22</v>
      </c>
      <c r="L206" t="str" cm="1">
        <f t="array" ref="L206">_xlfn.IFS(Table1_1[[#This Row],[Load_Factor_%]]&lt;60,"Low",Table1_1[[#This Row],[Load_Factor_%]]&lt;85,"Intermediate",Table1_1[[#This Row],[Load_Factor_%]]&gt;=85,"High")</f>
        <v>Intermediate</v>
      </c>
      <c r="M206" s="4">
        <v>674684</v>
      </c>
      <c r="N206" s="4">
        <v>110658</v>
      </c>
      <c r="O206" s="4">
        <f>SUM(Table1_1[[#This Row],[Ticket_Revenue_INR]:[Cargo_Revenue_INR]])</f>
        <v>785342</v>
      </c>
      <c r="P206" s="4">
        <v>1090138</v>
      </c>
      <c r="Q206" s="4">
        <v>1425330</v>
      </c>
      <c r="R206" s="4">
        <f>SUM(Table1_1[[#This Row],[Fuel_Cost_INR]:[Operating_Cost_INR]])</f>
        <v>2515468</v>
      </c>
      <c r="S206" s="4">
        <f>Table1_1[[#This Row],[Total_Revenue]]-Table1_1[[#This Row],[Total_Cost]]</f>
        <v>-1730126</v>
      </c>
      <c r="T206" s="9">
        <f>(Table1_1[[#This Row],[Total_Profit]]/Table1_1[[#This Row],[Total_Revenue]])</f>
        <v>-2.2030223775119628</v>
      </c>
      <c r="U206" s="5">
        <v>63</v>
      </c>
      <c r="V206" s="6" t="s">
        <v>18</v>
      </c>
      <c r="W206" s="8">
        <v>4.5999999999999996</v>
      </c>
      <c r="X206" t="str" cm="1">
        <f t="array" ref="X206">_xlfn.IFS(Table1_1[[#This Row],[Customer_Rating]]&lt;3,"Poor",Table1_1[[#This Row],[Customer_Rating]]&lt;4,"Good",Table1_1[[#This Row],[Customer_Rating]]&gt;=4,"Excellent")</f>
        <v>Excellent</v>
      </c>
    </row>
    <row r="207" spans="1:24" x14ac:dyDescent="0.35">
      <c r="A207" s="2" t="s">
        <v>396</v>
      </c>
      <c r="B207" s="3">
        <v>45951</v>
      </c>
      <c r="C207" s="3" t="str">
        <f>TEXT(Table1_1[[#This Row],[Date]],"YYYY")</f>
        <v>2025</v>
      </c>
      <c r="D207" s="3" t="str">
        <f>TEXT(Table1_1[[#This Row],[Date]],"mmm")</f>
        <v>Oct</v>
      </c>
      <c r="E207" s="2" t="s">
        <v>16</v>
      </c>
      <c r="F207" s="2" t="str">
        <f>INDEX(IndiGo_Flight_Data!$R$2:$R$11,MATCH(Table1_1[[#This Row],[Route]],_xlfn.ANCHORARRAY(IndiGo_Flight_Data!$Q$2),0))</f>
        <v>Delhi - Goa</v>
      </c>
      <c r="G207" s="2" t="s">
        <v>24</v>
      </c>
      <c r="H207">
        <v>154</v>
      </c>
      <c r="I207">
        <v>180</v>
      </c>
      <c r="J207">
        <f>Table1_1[[#This Row],[Seat_Capacity]]-Table1_1[[#This Row],[Passengers]]</f>
        <v>26</v>
      </c>
      <c r="K207">
        <v>85.56</v>
      </c>
      <c r="L207" t="str" cm="1">
        <f t="array" ref="L207">_xlfn.IFS(Table1_1[[#This Row],[Load_Factor_%]]&lt;60,"Low",Table1_1[[#This Row],[Load_Factor_%]]&lt;85,"Intermediate",Table1_1[[#This Row],[Load_Factor_%]]&gt;=85,"High")</f>
        <v>High</v>
      </c>
      <c r="M207" s="4">
        <v>653812</v>
      </c>
      <c r="N207" s="4">
        <v>19580</v>
      </c>
      <c r="O207" s="4">
        <f>SUM(Table1_1[[#This Row],[Ticket_Revenue_INR]:[Cargo_Revenue_INR]])</f>
        <v>673392</v>
      </c>
      <c r="P207" s="4">
        <v>345318</v>
      </c>
      <c r="Q207" s="4">
        <v>929485</v>
      </c>
      <c r="R207" s="4">
        <f>SUM(Table1_1[[#This Row],[Fuel_Cost_INR]:[Operating_Cost_INR]])</f>
        <v>1274803</v>
      </c>
      <c r="S207" s="4">
        <f>Table1_1[[#This Row],[Total_Revenue]]-Table1_1[[#This Row],[Total_Cost]]</f>
        <v>-601411</v>
      </c>
      <c r="T207" s="9">
        <f>(Table1_1[[#This Row],[Total_Profit]]/Table1_1[[#This Row],[Total_Revenue]])</f>
        <v>-0.89310683821607617</v>
      </c>
      <c r="U207" s="5">
        <v>22</v>
      </c>
      <c r="V207" s="6" t="s">
        <v>18</v>
      </c>
      <c r="W207" s="8">
        <v>3.4</v>
      </c>
      <c r="X207" t="str" cm="1">
        <f t="array" ref="X207">_xlfn.IFS(Table1_1[[#This Row],[Customer_Rating]]&lt;3,"Poor",Table1_1[[#This Row],[Customer_Rating]]&lt;4,"Good",Table1_1[[#This Row],[Customer_Rating]]&gt;=4,"Excellent")</f>
        <v>Good</v>
      </c>
    </row>
    <row r="208" spans="1:24" x14ac:dyDescent="0.35">
      <c r="A208" s="2" t="s">
        <v>397</v>
      </c>
      <c r="B208" s="3">
        <v>45750</v>
      </c>
      <c r="C208" s="3" t="str">
        <f>TEXT(Table1_1[[#This Row],[Date]],"YYYY")</f>
        <v>2025</v>
      </c>
      <c r="D208" s="3" t="str">
        <f>TEXT(Table1_1[[#This Row],[Date]],"mmm")</f>
        <v>Apr</v>
      </c>
      <c r="E208" s="2" t="s">
        <v>32</v>
      </c>
      <c r="F208" s="2" t="str">
        <f>INDEX(IndiGo_Flight_Data!$R$2:$R$11,MATCH(Table1_1[[#This Row],[Route]],_xlfn.ANCHORARRAY(IndiGo_Flight_Data!$Q$2),0))</f>
        <v>Bengaluru - Cochin</v>
      </c>
      <c r="G208" s="2" t="s">
        <v>24</v>
      </c>
      <c r="H208">
        <v>117</v>
      </c>
      <c r="I208">
        <v>180</v>
      </c>
      <c r="J208">
        <f>Table1_1[[#This Row],[Seat_Capacity]]-Table1_1[[#This Row],[Passengers]]</f>
        <v>63</v>
      </c>
      <c r="K208">
        <v>65</v>
      </c>
      <c r="L208" t="str" cm="1">
        <f t="array" ref="L208">_xlfn.IFS(Table1_1[[#This Row],[Load_Factor_%]]&lt;60,"Low",Table1_1[[#This Row],[Load_Factor_%]]&lt;85,"Intermediate",Table1_1[[#This Row],[Load_Factor_%]]&gt;=85,"High")</f>
        <v>Intermediate</v>
      </c>
      <c r="M208" s="4">
        <v>966911</v>
      </c>
      <c r="N208" s="4">
        <v>25617</v>
      </c>
      <c r="O208" s="4">
        <f>SUM(Table1_1[[#This Row],[Ticket_Revenue_INR]:[Cargo_Revenue_INR]])</f>
        <v>992528</v>
      </c>
      <c r="P208" s="4">
        <v>395114</v>
      </c>
      <c r="Q208" s="4">
        <v>650415</v>
      </c>
      <c r="R208" s="4">
        <f>SUM(Table1_1[[#This Row],[Fuel_Cost_INR]:[Operating_Cost_INR]])</f>
        <v>1045529</v>
      </c>
      <c r="S208" s="4">
        <f>Table1_1[[#This Row],[Total_Revenue]]-Table1_1[[#This Row],[Total_Cost]]</f>
        <v>-53001</v>
      </c>
      <c r="T208" s="9">
        <f>(Table1_1[[#This Row],[Total_Profit]]/Table1_1[[#This Row],[Total_Revenue]])</f>
        <v>-5.3400004836135606E-2</v>
      </c>
      <c r="U208" s="5">
        <v>33</v>
      </c>
      <c r="V208" s="6" t="s">
        <v>18</v>
      </c>
      <c r="W208" s="8">
        <v>4.0999999999999996</v>
      </c>
      <c r="X208" t="str" cm="1">
        <f t="array" ref="X208">_xlfn.IFS(Table1_1[[#This Row],[Customer_Rating]]&lt;3,"Poor",Table1_1[[#This Row],[Customer_Rating]]&lt;4,"Good",Table1_1[[#This Row],[Customer_Rating]]&gt;=4,"Excellent")</f>
        <v>Excellent</v>
      </c>
    </row>
    <row r="209" spans="1:24" x14ac:dyDescent="0.35">
      <c r="A209" s="2" t="s">
        <v>399</v>
      </c>
      <c r="B209" s="3">
        <v>45945</v>
      </c>
      <c r="C209" s="3" t="str">
        <f>TEXT(Table1_1[[#This Row],[Date]],"YYYY")</f>
        <v>2025</v>
      </c>
      <c r="D209" s="3" t="str">
        <f>TEXT(Table1_1[[#This Row],[Date]],"mmm")</f>
        <v>Oct</v>
      </c>
      <c r="E209" s="2" t="s">
        <v>76</v>
      </c>
      <c r="F209" s="2" t="str">
        <f>INDEX(IndiGo_Flight_Data!$R$2:$R$11,MATCH(Table1_1[[#This Row],[Route]],_xlfn.ANCHORARRAY(IndiGo_Flight_Data!$Q$2),0))</f>
        <v>Madras - Delhi</v>
      </c>
      <c r="G209" s="2" t="s">
        <v>43</v>
      </c>
      <c r="H209">
        <v>161</v>
      </c>
      <c r="I209">
        <v>232</v>
      </c>
      <c r="J209">
        <f>Table1_1[[#This Row],[Seat_Capacity]]-Table1_1[[#This Row],[Passengers]]</f>
        <v>71</v>
      </c>
      <c r="K209">
        <v>69.400000000000006</v>
      </c>
      <c r="L209" t="str" cm="1">
        <f t="array" ref="L209">_xlfn.IFS(Table1_1[[#This Row],[Load_Factor_%]]&lt;60,"Low",Table1_1[[#This Row],[Load_Factor_%]]&lt;85,"Intermediate",Table1_1[[#This Row],[Load_Factor_%]]&gt;=85,"High")</f>
        <v>Intermediate</v>
      </c>
      <c r="M209" s="4">
        <v>963657</v>
      </c>
      <c r="N209" s="4">
        <v>60693</v>
      </c>
      <c r="O209" s="4">
        <f>SUM(Table1_1[[#This Row],[Ticket_Revenue_INR]:[Cargo_Revenue_INR]])</f>
        <v>1024350</v>
      </c>
      <c r="P209" s="4">
        <v>1029400</v>
      </c>
      <c r="Q209" s="4">
        <v>1616886</v>
      </c>
      <c r="R209" s="4">
        <f>SUM(Table1_1[[#This Row],[Fuel_Cost_INR]:[Operating_Cost_INR]])</f>
        <v>2646286</v>
      </c>
      <c r="S209" s="4">
        <f>Table1_1[[#This Row],[Total_Revenue]]-Table1_1[[#This Row],[Total_Cost]]</f>
        <v>-1621936</v>
      </c>
      <c r="T209" s="9">
        <f>(Table1_1[[#This Row],[Total_Profit]]/Table1_1[[#This Row],[Total_Revenue]])</f>
        <v>-1.5833806804314932</v>
      </c>
      <c r="U209" s="5">
        <v>25</v>
      </c>
      <c r="V209" s="6" t="s">
        <v>18</v>
      </c>
      <c r="W209" s="8">
        <v>4.5</v>
      </c>
      <c r="X209" t="str" cm="1">
        <f t="array" ref="X209">_xlfn.IFS(Table1_1[[#This Row],[Customer_Rating]]&lt;3,"Poor",Table1_1[[#This Row],[Customer_Rating]]&lt;4,"Good",Table1_1[[#This Row],[Customer_Rating]]&gt;=4,"Excellent")</f>
        <v>Excellent</v>
      </c>
    </row>
    <row r="210" spans="1:24" x14ac:dyDescent="0.35">
      <c r="A210" s="2" t="s">
        <v>401</v>
      </c>
      <c r="B210" s="3">
        <v>45715</v>
      </c>
      <c r="C210" s="3" t="str">
        <f>TEXT(Table1_1[[#This Row],[Date]],"YYYY")</f>
        <v>2025</v>
      </c>
      <c r="D210" s="3" t="str">
        <f>TEXT(Table1_1[[#This Row],[Date]],"mmm")</f>
        <v>Feb</v>
      </c>
      <c r="E210" s="2" t="s">
        <v>59</v>
      </c>
      <c r="F210" s="2" t="str">
        <f>INDEX(IndiGo_Flight_Data!$R$2:$R$11,MATCH(Table1_1[[#This Row],[Route]],_xlfn.ANCHORARRAY(IndiGo_Flight_Data!$Q$2),0))</f>
        <v>Bengaluru - Bombay</v>
      </c>
      <c r="G210" s="2" t="s">
        <v>43</v>
      </c>
      <c r="H210">
        <v>145</v>
      </c>
      <c r="I210">
        <v>232</v>
      </c>
      <c r="J210">
        <f>Table1_1[[#This Row],[Seat_Capacity]]-Table1_1[[#This Row],[Passengers]]</f>
        <v>87</v>
      </c>
      <c r="K210">
        <v>62.5</v>
      </c>
      <c r="L210" t="str" cm="1">
        <f t="array" ref="L210">_xlfn.IFS(Table1_1[[#This Row],[Load_Factor_%]]&lt;60,"Low",Table1_1[[#This Row],[Load_Factor_%]]&lt;85,"Intermediate",Table1_1[[#This Row],[Load_Factor_%]]&gt;=85,"High")</f>
        <v>Intermediate</v>
      </c>
      <c r="M210" s="4">
        <v>875584</v>
      </c>
      <c r="N210" s="4">
        <v>35026</v>
      </c>
      <c r="O210" s="4">
        <f>SUM(Table1_1[[#This Row],[Ticket_Revenue_INR]:[Cargo_Revenue_INR]])</f>
        <v>910610</v>
      </c>
      <c r="P210" s="4">
        <v>1178450</v>
      </c>
      <c r="Q210" s="4">
        <v>1529169</v>
      </c>
      <c r="R210" s="4">
        <f>SUM(Table1_1[[#This Row],[Fuel_Cost_INR]:[Operating_Cost_INR]])</f>
        <v>2707619</v>
      </c>
      <c r="S210" s="4">
        <f>Table1_1[[#This Row],[Total_Revenue]]-Table1_1[[#This Row],[Total_Cost]]</f>
        <v>-1797009</v>
      </c>
      <c r="T210" s="9">
        <f>(Table1_1[[#This Row],[Total_Profit]]/Table1_1[[#This Row],[Total_Revenue]])</f>
        <v>-1.9734123279999121</v>
      </c>
      <c r="U210" s="5">
        <v>37</v>
      </c>
      <c r="V210" s="6" t="s">
        <v>18</v>
      </c>
      <c r="W210" s="8">
        <v>4.8</v>
      </c>
      <c r="X210" t="str" cm="1">
        <f t="array" ref="X210">_xlfn.IFS(Table1_1[[#This Row],[Customer_Rating]]&lt;3,"Poor",Table1_1[[#This Row],[Customer_Rating]]&lt;4,"Good",Table1_1[[#This Row],[Customer_Rating]]&gt;=4,"Excellent")</f>
        <v>Excellent</v>
      </c>
    </row>
    <row r="211" spans="1:24" x14ac:dyDescent="0.35">
      <c r="A211" s="2" t="s">
        <v>403</v>
      </c>
      <c r="B211" s="3">
        <v>45863</v>
      </c>
      <c r="C211" s="3" t="str">
        <f>TEXT(Table1_1[[#This Row],[Date]],"YYYY")</f>
        <v>2025</v>
      </c>
      <c r="D211" s="3" t="str">
        <f>TEXT(Table1_1[[#This Row],[Date]],"mmm")</f>
        <v>Jul</v>
      </c>
      <c r="E211" s="2" t="s">
        <v>32</v>
      </c>
      <c r="F211" s="2" t="str">
        <f>INDEX(IndiGo_Flight_Data!$R$2:$R$11,MATCH(Table1_1[[#This Row],[Route]],_xlfn.ANCHORARRAY(IndiGo_Flight_Data!$Q$2),0))</f>
        <v>Bengaluru - Cochin</v>
      </c>
      <c r="G211" s="2" t="s">
        <v>43</v>
      </c>
      <c r="H211">
        <v>226</v>
      </c>
      <c r="I211">
        <v>232</v>
      </c>
      <c r="J211">
        <f>Table1_1[[#This Row],[Seat_Capacity]]-Table1_1[[#This Row],[Passengers]]</f>
        <v>6</v>
      </c>
      <c r="K211">
        <v>97.41</v>
      </c>
      <c r="L211" t="str" cm="1">
        <f t="array" ref="L211">_xlfn.IFS(Table1_1[[#This Row],[Load_Factor_%]]&lt;60,"Low",Table1_1[[#This Row],[Load_Factor_%]]&lt;85,"Intermediate",Table1_1[[#This Row],[Load_Factor_%]]&gt;=85,"High")</f>
        <v>High</v>
      </c>
      <c r="M211" s="4">
        <v>836075</v>
      </c>
      <c r="N211" s="4">
        <v>27226</v>
      </c>
      <c r="O211" s="4">
        <f>SUM(Table1_1[[#This Row],[Ticket_Revenue_INR]:[Cargo_Revenue_INR]])</f>
        <v>863301</v>
      </c>
      <c r="P211" s="4">
        <v>1069055</v>
      </c>
      <c r="Q211" s="4">
        <v>1675773</v>
      </c>
      <c r="R211" s="4">
        <f>SUM(Table1_1[[#This Row],[Fuel_Cost_INR]:[Operating_Cost_INR]])</f>
        <v>2744828</v>
      </c>
      <c r="S211" s="4">
        <f>Table1_1[[#This Row],[Total_Revenue]]-Table1_1[[#This Row],[Total_Cost]]</f>
        <v>-1881527</v>
      </c>
      <c r="T211" s="9">
        <f>(Table1_1[[#This Row],[Total_Profit]]/Table1_1[[#This Row],[Total_Revenue]])</f>
        <v>-2.1794565279085742</v>
      </c>
      <c r="U211" s="5">
        <v>68</v>
      </c>
      <c r="V211" s="6" t="s">
        <v>18</v>
      </c>
      <c r="W211" s="8">
        <v>3.4</v>
      </c>
      <c r="X211" t="str" cm="1">
        <f t="array" ref="X211">_xlfn.IFS(Table1_1[[#This Row],[Customer_Rating]]&lt;3,"Poor",Table1_1[[#This Row],[Customer_Rating]]&lt;4,"Good",Table1_1[[#This Row],[Customer_Rating]]&gt;=4,"Excellent")</f>
        <v>Good</v>
      </c>
    </row>
    <row r="212" spans="1:24" x14ac:dyDescent="0.35">
      <c r="A212" s="2" t="s">
        <v>405</v>
      </c>
      <c r="B212" s="3">
        <v>45942</v>
      </c>
      <c r="C212" s="3" t="str">
        <f>TEXT(Table1_1[[#This Row],[Date]],"YYYY")</f>
        <v>2025</v>
      </c>
      <c r="D212" s="3" t="str">
        <f>TEXT(Table1_1[[#This Row],[Date]],"mmm")</f>
        <v>Oct</v>
      </c>
      <c r="E212" s="2" t="s">
        <v>32</v>
      </c>
      <c r="F212" s="2" t="str">
        <f>INDEX(IndiGo_Flight_Data!$R$2:$R$11,MATCH(Table1_1[[#This Row],[Route]],_xlfn.ANCHORARRAY(IndiGo_Flight_Data!$Q$2),0))</f>
        <v>Bengaluru - Cochin</v>
      </c>
      <c r="G212" s="2" t="s">
        <v>17</v>
      </c>
      <c r="H212">
        <v>67</v>
      </c>
      <c r="I212">
        <v>78</v>
      </c>
      <c r="J212">
        <f>Table1_1[[#This Row],[Seat_Capacity]]-Table1_1[[#This Row],[Passengers]]</f>
        <v>11</v>
      </c>
      <c r="K212">
        <v>85.9</v>
      </c>
      <c r="L212" t="str" cm="1">
        <f t="array" ref="L212">_xlfn.IFS(Table1_1[[#This Row],[Load_Factor_%]]&lt;60,"Low",Table1_1[[#This Row],[Load_Factor_%]]&lt;85,"Intermediate",Table1_1[[#This Row],[Load_Factor_%]]&gt;=85,"High")</f>
        <v>High</v>
      </c>
      <c r="M212" s="4">
        <v>405156</v>
      </c>
      <c r="N212" s="4">
        <v>89897</v>
      </c>
      <c r="O212" s="4">
        <f>SUM(Table1_1[[#This Row],[Ticket_Revenue_INR]:[Cargo_Revenue_INR]])</f>
        <v>495053</v>
      </c>
      <c r="P212" s="4">
        <v>593837</v>
      </c>
      <c r="Q212" s="4">
        <v>1256467</v>
      </c>
      <c r="R212" s="4">
        <f>SUM(Table1_1[[#This Row],[Fuel_Cost_INR]:[Operating_Cost_INR]])</f>
        <v>1850304</v>
      </c>
      <c r="S212" s="4">
        <f>Table1_1[[#This Row],[Total_Revenue]]-Table1_1[[#This Row],[Total_Cost]]</f>
        <v>-1355251</v>
      </c>
      <c r="T212" s="9">
        <f>(Table1_1[[#This Row],[Total_Profit]]/Table1_1[[#This Row],[Total_Revenue]])</f>
        <v>-2.73758769263089</v>
      </c>
      <c r="U212" s="5">
        <v>88</v>
      </c>
      <c r="V212" s="6" t="s">
        <v>18</v>
      </c>
      <c r="W212" s="8">
        <v>4</v>
      </c>
      <c r="X212" t="str" cm="1">
        <f t="array" ref="X212">_xlfn.IFS(Table1_1[[#This Row],[Customer_Rating]]&lt;3,"Poor",Table1_1[[#This Row],[Customer_Rating]]&lt;4,"Good",Table1_1[[#This Row],[Customer_Rating]]&gt;=4,"Excellent")</f>
        <v>Excellent</v>
      </c>
    </row>
    <row r="213" spans="1:24" x14ac:dyDescent="0.35">
      <c r="A213" s="2" t="s">
        <v>407</v>
      </c>
      <c r="B213" s="3">
        <v>45952</v>
      </c>
      <c r="C213" s="3" t="str">
        <f>TEXT(Table1_1[[#This Row],[Date]],"YYYY")</f>
        <v>2025</v>
      </c>
      <c r="D213" s="3" t="str">
        <f>TEXT(Table1_1[[#This Row],[Date]],"mmm")</f>
        <v>Oct</v>
      </c>
      <c r="E213" s="2" t="s">
        <v>76</v>
      </c>
      <c r="F213" s="2" t="str">
        <f>INDEX(IndiGo_Flight_Data!$R$2:$R$11,MATCH(Table1_1[[#This Row],[Route]],_xlfn.ANCHORARRAY(IndiGo_Flight_Data!$Q$2),0))</f>
        <v>Madras - Delhi</v>
      </c>
      <c r="G213" s="2" t="s">
        <v>17</v>
      </c>
      <c r="H213">
        <v>71</v>
      </c>
      <c r="I213">
        <v>78</v>
      </c>
      <c r="J213">
        <f>Table1_1[[#This Row],[Seat_Capacity]]-Table1_1[[#This Row],[Passengers]]</f>
        <v>7</v>
      </c>
      <c r="K213">
        <v>91.03</v>
      </c>
      <c r="L213" t="str" cm="1">
        <f t="array" ref="L213">_xlfn.IFS(Table1_1[[#This Row],[Load_Factor_%]]&lt;60,"Low",Table1_1[[#This Row],[Load_Factor_%]]&lt;85,"Intermediate",Table1_1[[#This Row],[Load_Factor_%]]&gt;=85,"High")</f>
        <v>High</v>
      </c>
      <c r="M213" s="4">
        <v>431986</v>
      </c>
      <c r="N213" s="4">
        <v>43535</v>
      </c>
      <c r="O213" s="4">
        <f>SUM(Table1_1[[#This Row],[Ticket_Revenue_INR]:[Cargo_Revenue_INR]])</f>
        <v>475521</v>
      </c>
      <c r="P213" s="4">
        <v>532565</v>
      </c>
      <c r="Q213" s="4">
        <v>676952</v>
      </c>
      <c r="R213" s="4">
        <f>SUM(Table1_1[[#This Row],[Fuel_Cost_INR]:[Operating_Cost_INR]])</f>
        <v>1209517</v>
      </c>
      <c r="S213" s="4">
        <f>Table1_1[[#This Row],[Total_Revenue]]-Table1_1[[#This Row],[Total_Cost]]</f>
        <v>-733996</v>
      </c>
      <c r="T213" s="9">
        <f>(Table1_1[[#This Row],[Total_Profit]]/Table1_1[[#This Row],[Total_Revenue]])</f>
        <v>-1.5435616933847296</v>
      </c>
      <c r="U213" s="5">
        <v>77</v>
      </c>
      <c r="V213" s="6" t="s">
        <v>18</v>
      </c>
      <c r="W213" s="8">
        <v>3.9</v>
      </c>
      <c r="X213" t="str" cm="1">
        <f t="array" ref="X213">_xlfn.IFS(Table1_1[[#This Row],[Customer_Rating]]&lt;3,"Poor",Table1_1[[#This Row],[Customer_Rating]]&lt;4,"Good",Table1_1[[#This Row],[Customer_Rating]]&gt;=4,"Excellent")</f>
        <v>Good</v>
      </c>
    </row>
    <row r="214" spans="1:24" x14ac:dyDescent="0.35">
      <c r="A214" s="2" t="s">
        <v>409</v>
      </c>
      <c r="B214" s="3">
        <v>45722</v>
      </c>
      <c r="C214" s="3" t="str">
        <f>TEXT(Table1_1[[#This Row],[Date]],"YYYY")</f>
        <v>2025</v>
      </c>
      <c r="D214" s="3" t="str">
        <f>TEXT(Table1_1[[#This Row],[Date]],"mmm")</f>
        <v>Mar</v>
      </c>
      <c r="E214" s="2" t="s">
        <v>16</v>
      </c>
      <c r="F214" s="2" t="str">
        <f>INDEX(IndiGo_Flight_Data!$R$2:$R$11,MATCH(Table1_1[[#This Row],[Route]],_xlfn.ANCHORARRAY(IndiGo_Flight_Data!$Q$2),0))</f>
        <v>Delhi - Goa</v>
      </c>
      <c r="G214" s="2" t="s">
        <v>24</v>
      </c>
      <c r="H214">
        <v>175</v>
      </c>
      <c r="I214">
        <v>180</v>
      </c>
      <c r="J214">
        <f>Table1_1[[#This Row],[Seat_Capacity]]-Table1_1[[#This Row],[Passengers]]</f>
        <v>5</v>
      </c>
      <c r="K214">
        <v>97.22</v>
      </c>
      <c r="L214" t="str" cm="1">
        <f t="array" ref="L214">_xlfn.IFS(Table1_1[[#This Row],[Load_Factor_%]]&lt;60,"Low",Table1_1[[#This Row],[Load_Factor_%]]&lt;85,"Intermediate",Table1_1[[#This Row],[Load_Factor_%]]&gt;=85,"High")</f>
        <v>High</v>
      </c>
      <c r="M214" s="4">
        <v>1189988</v>
      </c>
      <c r="N214" s="4">
        <v>133994</v>
      </c>
      <c r="O214" s="4">
        <f>SUM(Table1_1[[#This Row],[Ticket_Revenue_INR]:[Cargo_Revenue_INR]])</f>
        <v>1323982</v>
      </c>
      <c r="P214" s="4">
        <v>1113784</v>
      </c>
      <c r="Q214" s="4">
        <v>1533774</v>
      </c>
      <c r="R214" s="4">
        <f>SUM(Table1_1[[#This Row],[Fuel_Cost_INR]:[Operating_Cost_INR]])</f>
        <v>2647558</v>
      </c>
      <c r="S214" s="4">
        <f>Table1_1[[#This Row],[Total_Revenue]]-Table1_1[[#This Row],[Total_Cost]]</f>
        <v>-1323576</v>
      </c>
      <c r="T214" s="9">
        <f>(Table1_1[[#This Row],[Total_Profit]]/Table1_1[[#This Row],[Total_Revenue]])</f>
        <v>-0.99969334930535314</v>
      </c>
      <c r="U214" s="5">
        <v>14</v>
      </c>
      <c r="V214" s="6" t="s">
        <v>33</v>
      </c>
      <c r="W214" s="8">
        <v>4.4000000000000004</v>
      </c>
      <c r="X214" t="str" cm="1">
        <f t="array" ref="X214">_xlfn.IFS(Table1_1[[#This Row],[Customer_Rating]]&lt;3,"Poor",Table1_1[[#This Row],[Customer_Rating]]&lt;4,"Good",Table1_1[[#This Row],[Customer_Rating]]&gt;=4,"Excellent")</f>
        <v>Excellent</v>
      </c>
    </row>
    <row r="215" spans="1:24" x14ac:dyDescent="0.35">
      <c r="A215" s="2" t="s">
        <v>410</v>
      </c>
      <c r="B215" s="3">
        <v>45660</v>
      </c>
      <c r="C215" s="3" t="str">
        <f>TEXT(Table1_1[[#This Row],[Date]],"YYYY")</f>
        <v>2025</v>
      </c>
      <c r="D215" s="3" t="str">
        <f>TEXT(Table1_1[[#This Row],[Date]],"mmm")</f>
        <v>Jan</v>
      </c>
      <c r="E215" s="2" t="s">
        <v>29</v>
      </c>
      <c r="F215" s="2" t="str">
        <f>INDEX(IndiGo_Flight_Data!$R$2:$R$11,MATCH(Table1_1[[#This Row],[Route]],_xlfn.ANCHORARRAY(IndiGo_Flight_Data!$Q$2),0))</f>
        <v>Calacatta - Delhi</v>
      </c>
      <c r="G215" s="2" t="s">
        <v>17</v>
      </c>
      <c r="H215">
        <v>61</v>
      </c>
      <c r="I215">
        <v>78</v>
      </c>
      <c r="J215">
        <f>Table1_1[[#This Row],[Seat_Capacity]]-Table1_1[[#This Row],[Passengers]]</f>
        <v>17</v>
      </c>
      <c r="K215">
        <v>78.209999999999994</v>
      </c>
      <c r="L215" t="str" cm="1">
        <f t="array" ref="L215">_xlfn.IFS(Table1_1[[#This Row],[Load_Factor_%]]&lt;60,"Low",Table1_1[[#This Row],[Load_Factor_%]]&lt;85,"Intermediate",Table1_1[[#This Row],[Load_Factor_%]]&gt;=85,"High")</f>
        <v>Intermediate</v>
      </c>
      <c r="M215" s="4">
        <v>277967</v>
      </c>
      <c r="N215" s="4">
        <v>74234</v>
      </c>
      <c r="O215" s="4">
        <f>SUM(Table1_1[[#This Row],[Ticket_Revenue_INR]:[Cargo_Revenue_INR]])</f>
        <v>352201</v>
      </c>
      <c r="P215" s="4">
        <v>1134983</v>
      </c>
      <c r="Q215" s="4">
        <v>1656122</v>
      </c>
      <c r="R215" s="4">
        <f>SUM(Table1_1[[#This Row],[Fuel_Cost_INR]:[Operating_Cost_INR]])</f>
        <v>2791105</v>
      </c>
      <c r="S215" s="4">
        <f>Table1_1[[#This Row],[Total_Revenue]]-Table1_1[[#This Row],[Total_Cost]]</f>
        <v>-2438904</v>
      </c>
      <c r="T215" s="9">
        <f>(Table1_1[[#This Row],[Total_Profit]]/Table1_1[[#This Row],[Total_Revenue]])</f>
        <v>-6.9247503556207963</v>
      </c>
      <c r="U215" s="5">
        <v>52</v>
      </c>
      <c r="V215" s="6" t="s">
        <v>18</v>
      </c>
      <c r="W215" s="8">
        <v>3.4</v>
      </c>
      <c r="X215" t="str" cm="1">
        <f t="array" ref="X215">_xlfn.IFS(Table1_1[[#This Row],[Customer_Rating]]&lt;3,"Poor",Table1_1[[#This Row],[Customer_Rating]]&lt;4,"Good",Table1_1[[#This Row],[Customer_Rating]]&gt;=4,"Excellent")</f>
        <v>Good</v>
      </c>
    </row>
    <row r="216" spans="1:24" x14ac:dyDescent="0.35">
      <c r="A216" s="2" t="s">
        <v>412</v>
      </c>
      <c r="B216" s="3">
        <v>45999</v>
      </c>
      <c r="C216" s="3" t="str">
        <f>TEXT(Table1_1[[#This Row],[Date]],"YYYY")</f>
        <v>2025</v>
      </c>
      <c r="D216" s="3" t="str">
        <f>TEXT(Table1_1[[#This Row],[Date]],"mmm")</f>
        <v>Dec</v>
      </c>
      <c r="E216" s="2" t="s">
        <v>16</v>
      </c>
      <c r="F216" s="2" t="str">
        <f>INDEX(IndiGo_Flight_Data!$R$2:$R$11,MATCH(Table1_1[[#This Row],[Route]],_xlfn.ANCHORARRAY(IndiGo_Flight_Data!$Q$2),0))</f>
        <v>Delhi - Goa</v>
      </c>
      <c r="G216" s="2" t="s">
        <v>24</v>
      </c>
      <c r="H216">
        <v>150</v>
      </c>
      <c r="I216">
        <v>180</v>
      </c>
      <c r="J216">
        <f>Table1_1[[#This Row],[Seat_Capacity]]-Table1_1[[#This Row],[Passengers]]</f>
        <v>30</v>
      </c>
      <c r="K216">
        <v>83.33</v>
      </c>
      <c r="L216" t="str" cm="1">
        <f t="array" ref="L216">_xlfn.IFS(Table1_1[[#This Row],[Load_Factor_%]]&lt;60,"Low",Table1_1[[#This Row],[Load_Factor_%]]&lt;85,"Intermediate",Table1_1[[#This Row],[Load_Factor_%]]&gt;=85,"High")</f>
        <v>Intermediate</v>
      </c>
      <c r="M216" s="4">
        <v>559501</v>
      </c>
      <c r="N216" s="4">
        <v>74047</v>
      </c>
      <c r="O216" s="4">
        <f>SUM(Table1_1[[#This Row],[Ticket_Revenue_INR]:[Cargo_Revenue_INR]])</f>
        <v>633548</v>
      </c>
      <c r="P216" s="4">
        <v>631444</v>
      </c>
      <c r="Q216" s="4">
        <v>1249738</v>
      </c>
      <c r="R216" s="4">
        <f>SUM(Table1_1[[#This Row],[Fuel_Cost_INR]:[Operating_Cost_INR]])</f>
        <v>1881182</v>
      </c>
      <c r="S216" s="4">
        <f>Table1_1[[#This Row],[Total_Revenue]]-Table1_1[[#This Row],[Total_Cost]]</f>
        <v>-1247634</v>
      </c>
      <c r="T216" s="9">
        <f>(Table1_1[[#This Row],[Total_Profit]]/Table1_1[[#This Row],[Total_Revenue]])</f>
        <v>-1.9692809384608585</v>
      </c>
      <c r="U216" s="5">
        <v>75</v>
      </c>
      <c r="V216" s="6" t="s">
        <v>18</v>
      </c>
      <c r="W216" s="8">
        <v>3.4</v>
      </c>
      <c r="X216" t="str" cm="1">
        <f t="array" ref="X216">_xlfn.IFS(Table1_1[[#This Row],[Customer_Rating]]&lt;3,"Poor",Table1_1[[#This Row],[Customer_Rating]]&lt;4,"Good",Table1_1[[#This Row],[Customer_Rating]]&gt;=4,"Excellent")</f>
        <v>Good</v>
      </c>
    </row>
    <row r="217" spans="1:24" x14ac:dyDescent="0.35">
      <c r="A217" s="2" t="s">
        <v>414</v>
      </c>
      <c r="B217" s="3">
        <v>45990</v>
      </c>
      <c r="C217" s="3" t="str">
        <f>TEXT(Table1_1[[#This Row],[Date]],"YYYY")</f>
        <v>2025</v>
      </c>
      <c r="D217" s="3" t="str">
        <f>TEXT(Table1_1[[#This Row],[Date]],"mmm")</f>
        <v>Nov</v>
      </c>
      <c r="E217" s="2" t="s">
        <v>29</v>
      </c>
      <c r="F217" s="2" t="str">
        <f>INDEX(IndiGo_Flight_Data!$R$2:$R$11,MATCH(Table1_1[[#This Row],[Route]],_xlfn.ANCHORARRAY(IndiGo_Flight_Data!$Q$2),0))</f>
        <v>Calacatta - Delhi</v>
      </c>
      <c r="G217" s="2" t="s">
        <v>17</v>
      </c>
      <c r="H217">
        <v>61</v>
      </c>
      <c r="I217">
        <v>78</v>
      </c>
      <c r="J217">
        <f>Table1_1[[#This Row],[Seat_Capacity]]-Table1_1[[#This Row],[Passengers]]</f>
        <v>17</v>
      </c>
      <c r="K217">
        <v>78.209999999999994</v>
      </c>
      <c r="L217" t="str" cm="1">
        <f t="array" ref="L217">_xlfn.IFS(Table1_1[[#This Row],[Load_Factor_%]]&lt;60,"Low",Table1_1[[#This Row],[Load_Factor_%]]&lt;85,"Intermediate",Table1_1[[#This Row],[Load_Factor_%]]&gt;=85,"High")</f>
        <v>Intermediate</v>
      </c>
      <c r="M217" s="4">
        <v>460610</v>
      </c>
      <c r="N217" s="4">
        <v>45679</v>
      </c>
      <c r="O217" s="4">
        <f>SUM(Table1_1[[#This Row],[Ticket_Revenue_INR]:[Cargo_Revenue_INR]])</f>
        <v>506289</v>
      </c>
      <c r="P217" s="4">
        <v>1133361</v>
      </c>
      <c r="Q217" s="4">
        <v>1397798</v>
      </c>
      <c r="R217" s="4">
        <f>SUM(Table1_1[[#This Row],[Fuel_Cost_INR]:[Operating_Cost_INR]])</f>
        <v>2531159</v>
      </c>
      <c r="S217" s="4">
        <f>Table1_1[[#This Row],[Total_Revenue]]-Table1_1[[#This Row],[Total_Cost]]</f>
        <v>-2024870</v>
      </c>
      <c r="T217" s="9">
        <f>(Table1_1[[#This Row],[Total_Profit]]/Table1_1[[#This Row],[Total_Revenue]])</f>
        <v>-3.9994351052462132</v>
      </c>
      <c r="U217" s="5">
        <v>52</v>
      </c>
      <c r="V217" s="6" t="s">
        <v>18</v>
      </c>
      <c r="W217" s="8">
        <v>4.5</v>
      </c>
      <c r="X217" t="str" cm="1">
        <f t="array" ref="X217">_xlfn.IFS(Table1_1[[#This Row],[Customer_Rating]]&lt;3,"Poor",Table1_1[[#This Row],[Customer_Rating]]&lt;4,"Good",Table1_1[[#This Row],[Customer_Rating]]&gt;=4,"Excellent")</f>
        <v>Excellent</v>
      </c>
    </row>
    <row r="218" spans="1:24" x14ac:dyDescent="0.35">
      <c r="A218" s="2" t="s">
        <v>415</v>
      </c>
      <c r="B218" s="3">
        <v>45749</v>
      </c>
      <c r="C218" s="3" t="str">
        <f>TEXT(Table1_1[[#This Row],[Date]],"YYYY")</f>
        <v>2025</v>
      </c>
      <c r="D218" s="3" t="str">
        <f>TEXT(Table1_1[[#This Row],[Date]],"mmm")</f>
        <v>Apr</v>
      </c>
      <c r="E218" s="2" t="s">
        <v>117</v>
      </c>
      <c r="F218" s="2" t="str">
        <f>INDEX(IndiGo_Flight_Data!$R$2:$R$11,MATCH(Table1_1[[#This Row],[Route]],_xlfn.ANCHORARRAY(IndiGo_Flight_Data!$Q$2),0))</f>
        <v>Bengaluru - Calacatta</v>
      </c>
      <c r="G218" s="2" t="s">
        <v>17</v>
      </c>
      <c r="H218">
        <v>53</v>
      </c>
      <c r="I218">
        <v>78</v>
      </c>
      <c r="J218">
        <f>Table1_1[[#This Row],[Seat_Capacity]]-Table1_1[[#This Row],[Passengers]]</f>
        <v>25</v>
      </c>
      <c r="K218">
        <v>67.95</v>
      </c>
      <c r="L218" t="str" cm="1">
        <f t="array" ref="L218">_xlfn.IFS(Table1_1[[#This Row],[Load_Factor_%]]&lt;60,"Low",Table1_1[[#This Row],[Load_Factor_%]]&lt;85,"Intermediate",Table1_1[[#This Row],[Load_Factor_%]]&gt;=85,"High")</f>
        <v>Intermediate</v>
      </c>
      <c r="M218" s="4">
        <v>334064</v>
      </c>
      <c r="N218" s="4">
        <v>57638</v>
      </c>
      <c r="O218" s="4">
        <f>SUM(Table1_1[[#This Row],[Ticket_Revenue_INR]:[Cargo_Revenue_INR]])</f>
        <v>391702</v>
      </c>
      <c r="P218" s="4">
        <v>1120232</v>
      </c>
      <c r="Q218" s="4">
        <v>1391975</v>
      </c>
      <c r="R218" s="4">
        <f>SUM(Table1_1[[#This Row],[Fuel_Cost_INR]:[Operating_Cost_INR]])</f>
        <v>2512207</v>
      </c>
      <c r="S218" s="4">
        <f>Table1_1[[#This Row],[Total_Revenue]]-Table1_1[[#This Row],[Total_Cost]]</f>
        <v>-2120505</v>
      </c>
      <c r="T218" s="9">
        <f>(Table1_1[[#This Row],[Total_Profit]]/Table1_1[[#This Row],[Total_Revenue]])</f>
        <v>-5.4135669463010148</v>
      </c>
      <c r="U218" s="5">
        <v>36</v>
      </c>
      <c r="V218" s="6" t="s">
        <v>18</v>
      </c>
      <c r="W218" s="8">
        <v>4.4000000000000004</v>
      </c>
      <c r="X218" t="str" cm="1">
        <f t="array" ref="X218">_xlfn.IFS(Table1_1[[#This Row],[Customer_Rating]]&lt;3,"Poor",Table1_1[[#This Row],[Customer_Rating]]&lt;4,"Good",Table1_1[[#This Row],[Customer_Rating]]&gt;=4,"Excellent")</f>
        <v>Excellent</v>
      </c>
    </row>
    <row r="219" spans="1:24" x14ac:dyDescent="0.35">
      <c r="A219" s="2" t="s">
        <v>416</v>
      </c>
      <c r="B219" s="3">
        <v>45676</v>
      </c>
      <c r="C219" s="3" t="str">
        <f>TEXT(Table1_1[[#This Row],[Date]],"YYYY")</f>
        <v>2025</v>
      </c>
      <c r="D219" s="3" t="str">
        <f>TEXT(Table1_1[[#This Row],[Date]],"mmm")</f>
        <v>Jan</v>
      </c>
      <c r="E219" s="2" t="s">
        <v>59</v>
      </c>
      <c r="F219" s="2" t="str">
        <f>INDEX(IndiGo_Flight_Data!$R$2:$R$11,MATCH(Table1_1[[#This Row],[Route]],_xlfn.ANCHORARRAY(IndiGo_Flight_Data!$Q$2),0))</f>
        <v>Bengaluru - Bombay</v>
      </c>
      <c r="G219" s="2" t="s">
        <v>17</v>
      </c>
      <c r="H219">
        <v>70</v>
      </c>
      <c r="I219">
        <v>78</v>
      </c>
      <c r="J219">
        <f>Table1_1[[#This Row],[Seat_Capacity]]-Table1_1[[#This Row],[Passengers]]</f>
        <v>8</v>
      </c>
      <c r="K219">
        <v>89.74</v>
      </c>
      <c r="L219" t="str" cm="1">
        <f t="array" ref="L219">_xlfn.IFS(Table1_1[[#This Row],[Load_Factor_%]]&lt;60,"Low",Table1_1[[#This Row],[Load_Factor_%]]&lt;85,"Intermediate",Table1_1[[#This Row],[Load_Factor_%]]&gt;=85,"High")</f>
        <v>High</v>
      </c>
      <c r="M219" s="4">
        <v>483802</v>
      </c>
      <c r="N219" s="4">
        <v>38235</v>
      </c>
      <c r="O219" s="4">
        <f>SUM(Table1_1[[#This Row],[Ticket_Revenue_INR]:[Cargo_Revenue_INR]])</f>
        <v>522037</v>
      </c>
      <c r="P219" s="4">
        <v>1116957</v>
      </c>
      <c r="Q219" s="4">
        <v>1220890</v>
      </c>
      <c r="R219" s="4">
        <f>SUM(Table1_1[[#This Row],[Fuel_Cost_INR]:[Operating_Cost_INR]])</f>
        <v>2337847</v>
      </c>
      <c r="S219" s="4">
        <f>Table1_1[[#This Row],[Total_Revenue]]-Table1_1[[#This Row],[Total_Cost]]</f>
        <v>-1815810</v>
      </c>
      <c r="T219" s="9">
        <f>(Table1_1[[#This Row],[Total_Profit]]/Table1_1[[#This Row],[Total_Revenue]])</f>
        <v>-3.4783166710405586</v>
      </c>
      <c r="U219" s="5">
        <v>14</v>
      </c>
      <c r="V219" s="6" t="s">
        <v>33</v>
      </c>
      <c r="W219" s="8">
        <v>4.5</v>
      </c>
      <c r="X219" t="str" cm="1">
        <f t="array" ref="X219">_xlfn.IFS(Table1_1[[#This Row],[Customer_Rating]]&lt;3,"Poor",Table1_1[[#This Row],[Customer_Rating]]&lt;4,"Good",Table1_1[[#This Row],[Customer_Rating]]&gt;=4,"Excellent")</f>
        <v>Excellent</v>
      </c>
    </row>
    <row r="220" spans="1:24" x14ac:dyDescent="0.35">
      <c r="A220" s="2" t="s">
        <v>418</v>
      </c>
      <c r="B220" s="3">
        <v>45856</v>
      </c>
      <c r="C220" s="3" t="str">
        <f>TEXT(Table1_1[[#This Row],[Date]],"YYYY")</f>
        <v>2025</v>
      </c>
      <c r="D220" s="3" t="str">
        <f>TEXT(Table1_1[[#This Row],[Date]],"mmm")</f>
        <v>Jul</v>
      </c>
      <c r="E220" s="2" t="s">
        <v>42</v>
      </c>
      <c r="F220" s="2" t="str">
        <f>INDEX(IndiGo_Flight_Data!$R$2:$R$11,MATCH(Table1_1[[#This Row],[Route]],_xlfn.ANCHORARRAY(IndiGo_Flight_Data!$Q$2),0))</f>
        <v>Bombay - Hyderabad</v>
      </c>
      <c r="G220" s="2" t="s">
        <v>17</v>
      </c>
      <c r="H220">
        <v>63</v>
      </c>
      <c r="I220">
        <v>78</v>
      </c>
      <c r="J220">
        <f>Table1_1[[#This Row],[Seat_Capacity]]-Table1_1[[#This Row],[Passengers]]</f>
        <v>15</v>
      </c>
      <c r="K220">
        <v>80.77</v>
      </c>
      <c r="L220" t="str" cm="1">
        <f t="array" ref="L220">_xlfn.IFS(Table1_1[[#This Row],[Load_Factor_%]]&lt;60,"Low",Table1_1[[#This Row],[Load_Factor_%]]&lt;85,"Intermediate",Table1_1[[#This Row],[Load_Factor_%]]&gt;=85,"High")</f>
        <v>Intermediate</v>
      </c>
      <c r="M220" s="4">
        <v>546520</v>
      </c>
      <c r="N220" s="4">
        <v>86498</v>
      </c>
      <c r="O220" s="4">
        <f>SUM(Table1_1[[#This Row],[Ticket_Revenue_INR]:[Cargo_Revenue_INR]])</f>
        <v>633018</v>
      </c>
      <c r="P220" s="4">
        <v>1092831</v>
      </c>
      <c r="Q220" s="4">
        <v>1328222</v>
      </c>
      <c r="R220" s="4">
        <f>SUM(Table1_1[[#This Row],[Fuel_Cost_INR]:[Operating_Cost_INR]])</f>
        <v>2421053</v>
      </c>
      <c r="S220" s="4">
        <f>Table1_1[[#This Row],[Total_Revenue]]-Table1_1[[#This Row],[Total_Cost]]</f>
        <v>-1788035</v>
      </c>
      <c r="T220" s="9">
        <f>(Table1_1[[#This Row],[Total_Profit]]/Table1_1[[#This Row],[Total_Revenue]])</f>
        <v>-2.8246195210878682</v>
      </c>
      <c r="U220" s="5">
        <v>88</v>
      </c>
      <c r="V220" s="6" t="s">
        <v>18</v>
      </c>
      <c r="W220" s="8">
        <v>4.5999999999999996</v>
      </c>
      <c r="X220" t="str" cm="1">
        <f t="array" ref="X220">_xlfn.IFS(Table1_1[[#This Row],[Customer_Rating]]&lt;3,"Poor",Table1_1[[#This Row],[Customer_Rating]]&lt;4,"Good",Table1_1[[#This Row],[Customer_Rating]]&gt;=4,"Excellent")</f>
        <v>Excellent</v>
      </c>
    </row>
    <row r="221" spans="1:24" x14ac:dyDescent="0.35">
      <c r="A221" s="2" t="s">
        <v>419</v>
      </c>
      <c r="B221" s="3">
        <v>45894</v>
      </c>
      <c r="C221" s="3" t="str">
        <f>TEXT(Table1_1[[#This Row],[Date]],"YYYY")</f>
        <v>2025</v>
      </c>
      <c r="D221" s="3" t="str">
        <f>TEXT(Table1_1[[#This Row],[Date]],"mmm")</f>
        <v>Aug</v>
      </c>
      <c r="E221" s="2" t="s">
        <v>42</v>
      </c>
      <c r="F221" s="2" t="str">
        <f>INDEX(IndiGo_Flight_Data!$R$2:$R$11,MATCH(Table1_1[[#This Row],[Route]],_xlfn.ANCHORARRAY(IndiGo_Flight_Data!$Q$2),0))</f>
        <v>Bombay - Hyderabad</v>
      </c>
      <c r="G221" s="2" t="s">
        <v>24</v>
      </c>
      <c r="H221">
        <v>173</v>
      </c>
      <c r="I221">
        <v>180</v>
      </c>
      <c r="J221">
        <f>Table1_1[[#This Row],[Seat_Capacity]]-Table1_1[[#This Row],[Passengers]]</f>
        <v>7</v>
      </c>
      <c r="K221">
        <v>96.11</v>
      </c>
      <c r="L221" t="str" cm="1">
        <f t="array" ref="L221">_xlfn.IFS(Table1_1[[#This Row],[Load_Factor_%]]&lt;60,"Low",Table1_1[[#This Row],[Load_Factor_%]]&lt;85,"Intermediate",Table1_1[[#This Row],[Load_Factor_%]]&gt;=85,"High")</f>
        <v>High</v>
      </c>
      <c r="M221" s="4">
        <v>1311164</v>
      </c>
      <c r="N221" s="4">
        <v>124657</v>
      </c>
      <c r="O221" s="4">
        <f>SUM(Table1_1[[#This Row],[Ticket_Revenue_INR]:[Cargo_Revenue_INR]])</f>
        <v>1435821</v>
      </c>
      <c r="P221" s="4">
        <v>428215</v>
      </c>
      <c r="Q221" s="4">
        <v>667806</v>
      </c>
      <c r="R221" s="4">
        <f>SUM(Table1_1[[#This Row],[Fuel_Cost_INR]:[Operating_Cost_INR]])</f>
        <v>1096021</v>
      </c>
      <c r="S221" s="4">
        <f>Table1_1[[#This Row],[Total_Revenue]]-Table1_1[[#This Row],[Total_Cost]]</f>
        <v>339800</v>
      </c>
      <c r="T221" s="9">
        <f>(Table1_1[[#This Row],[Total_Profit]]/Table1_1[[#This Row],[Total_Revenue]])</f>
        <v>0.23665902643853237</v>
      </c>
      <c r="U221" s="5">
        <v>27</v>
      </c>
      <c r="V221" s="6" t="s">
        <v>18</v>
      </c>
      <c r="W221" s="8">
        <v>4.5999999999999996</v>
      </c>
      <c r="X221" t="str" cm="1">
        <f t="array" ref="X221">_xlfn.IFS(Table1_1[[#This Row],[Customer_Rating]]&lt;3,"Poor",Table1_1[[#This Row],[Customer_Rating]]&lt;4,"Good",Table1_1[[#This Row],[Customer_Rating]]&gt;=4,"Excellent")</f>
        <v>Excellent</v>
      </c>
    </row>
    <row r="222" spans="1:24" x14ac:dyDescent="0.35">
      <c r="A222" s="2" t="s">
        <v>421</v>
      </c>
      <c r="B222" s="3">
        <v>45920</v>
      </c>
      <c r="C222" s="3" t="str">
        <f>TEXT(Table1_1[[#This Row],[Date]],"YYYY")</f>
        <v>2025</v>
      </c>
      <c r="D222" s="3" t="str">
        <f>TEXT(Table1_1[[#This Row],[Date]],"mmm")</f>
        <v>Sep</v>
      </c>
      <c r="E222" s="2" t="s">
        <v>21</v>
      </c>
      <c r="F222" s="2" t="str">
        <f>INDEX(IndiGo_Flight_Data!$R$2:$R$11,MATCH(Table1_1[[#This Row],[Route]],_xlfn.ANCHORARRAY(IndiGo_Flight_Data!$Q$2),0))</f>
        <v>Bengaluru - Hyderabad</v>
      </c>
      <c r="G222" s="2" t="s">
        <v>43</v>
      </c>
      <c r="H222">
        <v>166</v>
      </c>
      <c r="I222">
        <v>232</v>
      </c>
      <c r="J222">
        <f>Table1_1[[#This Row],[Seat_Capacity]]-Table1_1[[#This Row],[Passengers]]</f>
        <v>66</v>
      </c>
      <c r="K222">
        <v>71.55</v>
      </c>
      <c r="L222" t="str" cm="1">
        <f t="array" ref="L222">_xlfn.IFS(Table1_1[[#This Row],[Load_Factor_%]]&lt;60,"Low",Table1_1[[#This Row],[Load_Factor_%]]&lt;85,"Intermediate",Table1_1[[#This Row],[Load_Factor_%]]&gt;=85,"High")</f>
        <v>Intermediate</v>
      </c>
      <c r="M222" s="4">
        <v>1217651</v>
      </c>
      <c r="N222" s="4">
        <v>123818</v>
      </c>
      <c r="O222" s="4">
        <f>SUM(Table1_1[[#This Row],[Ticket_Revenue_INR]:[Cargo_Revenue_INR]])</f>
        <v>1341469</v>
      </c>
      <c r="P222" s="4">
        <v>908268</v>
      </c>
      <c r="Q222" s="4">
        <v>1189655</v>
      </c>
      <c r="R222" s="4">
        <f>SUM(Table1_1[[#This Row],[Fuel_Cost_INR]:[Operating_Cost_INR]])</f>
        <v>2097923</v>
      </c>
      <c r="S222" s="4">
        <f>Table1_1[[#This Row],[Total_Revenue]]-Table1_1[[#This Row],[Total_Cost]]</f>
        <v>-756454</v>
      </c>
      <c r="T222" s="9">
        <f>(Table1_1[[#This Row],[Total_Profit]]/Table1_1[[#This Row],[Total_Revenue]])</f>
        <v>-0.56389972485387285</v>
      </c>
      <c r="U222" s="5">
        <v>5</v>
      </c>
      <c r="V222" s="6" t="s">
        <v>33</v>
      </c>
      <c r="W222" s="8">
        <v>4.5</v>
      </c>
      <c r="X222" t="str" cm="1">
        <f t="array" ref="X222">_xlfn.IFS(Table1_1[[#This Row],[Customer_Rating]]&lt;3,"Poor",Table1_1[[#This Row],[Customer_Rating]]&lt;4,"Good",Table1_1[[#This Row],[Customer_Rating]]&gt;=4,"Excellent")</f>
        <v>Excellent</v>
      </c>
    </row>
    <row r="223" spans="1:24" x14ac:dyDescent="0.35">
      <c r="A223" s="2" t="s">
        <v>422</v>
      </c>
      <c r="B223" s="3">
        <v>45963</v>
      </c>
      <c r="C223" s="3" t="str">
        <f>TEXT(Table1_1[[#This Row],[Date]],"YYYY")</f>
        <v>2025</v>
      </c>
      <c r="D223" s="3" t="str">
        <f>TEXT(Table1_1[[#This Row],[Date]],"mmm")</f>
        <v>Nov</v>
      </c>
      <c r="E223" s="2" t="s">
        <v>16</v>
      </c>
      <c r="F223" s="2" t="str">
        <f>INDEX(IndiGo_Flight_Data!$R$2:$R$11,MATCH(Table1_1[[#This Row],[Route]],_xlfn.ANCHORARRAY(IndiGo_Flight_Data!$Q$2),0))</f>
        <v>Delhi - Goa</v>
      </c>
      <c r="G223" s="2" t="s">
        <v>17</v>
      </c>
      <c r="H223">
        <v>76</v>
      </c>
      <c r="I223">
        <v>78</v>
      </c>
      <c r="J223">
        <f>Table1_1[[#This Row],[Seat_Capacity]]-Table1_1[[#This Row],[Passengers]]</f>
        <v>2</v>
      </c>
      <c r="K223">
        <v>97.44</v>
      </c>
      <c r="L223" t="str" cm="1">
        <f t="array" ref="L223">_xlfn.IFS(Table1_1[[#This Row],[Load_Factor_%]]&lt;60,"Low",Table1_1[[#This Row],[Load_Factor_%]]&lt;85,"Intermediate",Table1_1[[#This Row],[Load_Factor_%]]&gt;=85,"High")</f>
        <v>High</v>
      </c>
      <c r="M223" s="4">
        <v>373631</v>
      </c>
      <c r="N223" s="4">
        <v>63074</v>
      </c>
      <c r="O223" s="4">
        <f>SUM(Table1_1[[#This Row],[Ticket_Revenue_INR]:[Cargo_Revenue_INR]])</f>
        <v>436705</v>
      </c>
      <c r="P223" s="4">
        <v>846552</v>
      </c>
      <c r="Q223" s="4">
        <v>1521108</v>
      </c>
      <c r="R223" s="4">
        <f>SUM(Table1_1[[#This Row],[Fuel_Cost_INR]:[Operating_Cost_INR]])</f>
        <v>2367660</v>
      </c>
      <c r="S223" s="4">
        <f>Table1_1[[#This Row],[Total_Revenue]]-Table1_1[[#This Row],[Total_Cost]]</f>
        <v>-1930955</v>
      </c>
      <c r="T223" s="9">
        <f>(Table1_1[[#This Row],[Total_Profit]]/Table1_1[[#This Row],[Total_Revenue]])</f>
        <v>-4.4216461913648804</v>
      </c>
      <c r="U223" s="5">
        <v>4</v>
      </c>
      <c r="V223" s="6" t="s">
        <v>33</v>
      </c>
      <c r="W223" s="8">
        <v>4.0999999999999996</v>
      </c>
      <c r="X223" t="str" cm="1">
        <f t="array" ref="X223">_xlfn.IFS(Table1_1[[#This Row],[Customer_Rating]]&lt;3,"Poor",Table1_1[[#This Row],[Customer_Rating]]&lt;4,"Good",Table1_1[[#This Row],[Customer_Rating]]&gt;=4,"Excellent")</f>
        <v>Excellent</v>
      </c>
    </row>
    <row r="224" spans="1:24" x14ac:dyDescent="0.35">
      <c r="A224" s="2" t="s">
        <v>423</v>
      </c>
      <c r="B224" s="3">
        <v>45904</v>
      </c>
      <c r="C224" s="3" t="str">
        <f>TEXT(Table1_1[[#This Row],[Date]],"YYYY")</f>
        <v>2025</v>
      </c>
      <c r="D224" s="3" t="str">
        <f>TEXT(Table1_1[[#This Row],[Date]],"mmm")</f>
        <v>Sep</v>
      </c>
      <c r="E224" s="2" t="s">
        <v>76</v>
      </c>
      <c r="F224" s="2" t="str">
        <f>INDEX(IndiGo_Flight_Data!$R$2:$R$11,MATCH(Table1_1[[#This Row],[Route]],_xlfn.ANCHORARRAY(IndiGo_Flight_Data!$Q$2),0))</f>
        <v>Madras - Delhi</v>
      </c>
      <c r="G224" s="2" t="s">
        <v>17</v>
      </c>
      <c r="H224">
        <v>57</v>
      </c>
      <c r="I224">
        <v>78</v>
      </c>
      <c r="J224">
        <f>Table1_1[[#This Row],[Seat_Capacity]]-Table1_1[[#This Row],[Passengers]]</f>
        <v>21</v>
      </c>
      <c r="K224">
        <v>73.08</v>
      </c>
      <c r="L224" t="str" cm="1">
        <f t="array" ref="L224">_xlfn.IFS(Table1_1[[#This Row],[Load_Factor_%]]&lt;60,"Low",Table1_1[[#This Row],[Load_Factor_%]]&lt;85,"Intermediate",Table1_1[[#This Row],[Load_Factor_%]]&gt;=85,"High")</f>
        <v>Intermediate</v>
      </c>
      <c r="M224" s="4">
        <v>435495</v>
      </c>
      <c r="N224" s="4">
        <v>18103</v>
      </c>
      <c r="O224" s="4">
        <f>SUM(Table1_1[[#This Row],[Ticket_Revenue_INR]:[Cargo_Revenue_INR]])</f>
        <v>453598</v>
      </c>
      <c r="P224" s="4">
        <v>1062708</v>
      </c>
      <c r="Q224" s="4">
        <v>1406105</v>
      </c>
      <c r="R224" s="4">
        <f>SUM(Table1_1[[#This Row],[Fuel_Cost_INR]:[Operating_Cost_INR]])</f>
        <v>2468813</v>
      </c>
      <c r="S224" s="4">
        <f>Table1_1[[#This Row],[Total_Revenue]]-Table1_1[[#This Row],[Total_Cost]]</f>
        <v>-2015215</v>
      </c>
      <c r="T224" s="9">
        <f>(Table1_1[[#This Row],[Total_Profit]]/Table1_1[[#This Row],[Total_Revenue]])</f>
        <v>-4.4427334335689315</v>
      </c>
      <c r="U224" s="5">
        <v>45</v>
      </c>
      <c r="V224" s="6" t="s">
        <v>18</v>
      </c>
      <c r="W224" s="8">
        <v>3.3</v>
      </c>
      <c r="X224" t="str" cm="1">
        <f t="array" ref="X224">_xlfn.IFS(Table1_1[[#This Row],[Customer_Rating]]&lt;3,"Poor",Table1_1[[#This Row],[Customer_Rating]]&lt;4,"Good",Table1_1[[#This Row],[Customer_Rating]]&gt;=4,"Excellent")</f>
        <v>Good</v>
      </c>
    </row>
    <row r="225" spans="1:24" x14ac:dyDescent="0.35">
      <c r="A225" s="2" t="s">
        <v>424</v>
      </c>
      <c r="B225" s="3">
        <v>45871</v>
      </c>
      <c r="C225" s="3" t="str">
        <f>TEXT(Table1_1[[#This Row],[Date]],"YYYY")</f>
        <v>2025</v>
      </c>
      <c r="D225" s="3" t="str">
        <f>TEXT(Table1_1[[#This Row],[Date]],"mmm")</f>
        <v>Aug</v>
      </c>
      <c r="E225" s="2" t="s">
        <v>39</v>
      </c>
      <c r="F225" s="2" t="str">
        <f>INDEX(IndiGo_Flight_Data!$R$2:$R$11,MATCH(Table1_1[[#This Row],[Route]],_xlfn.ANCHORARRAY(IndiGo_Flight_Data!$Q$2),0))</f>
        <v>Bengaluru - Delhi</v>
      </c>
      <c r="G225" s="2" t="s">
        <v>17</v>
      </c>
      <c r="H225">
        <v>63</v>
      </c>
      <c r="I225">
        <v>78</v>
      </c>
      <c r="J225">
        <f>Table1_1[[#This Row],[Seat_Capacity]]-Table1_1[[#This Row],[Passengers]]</f>
        <v>15</v>
      </c>
      <c r="K225">
        <v>80.77</v>
      </c>
      <c r="L225" t="str" cm="1">
        <f t="array" ref="L225">_xlfn.IFS(Table1_1[[#This Row],[Load_Factor_%]]&lt;60,"Low",Table1_1[[#This Row],[Load_Factor_%]]&lt;85,"Intermediate",Table1_1[[#This Row],[Load_Factor_%]]&gt;=85,"High")</f>
        <v>Intermediate</v>
      </c>
      <c r="M225" s="4">
        <v>506553</v>
      </c>
      <c r="N225" s="4">
        <v>72143</v>
      </c>
      <c r="O225" s="4">
        <f>SUM(Table1_1[[#This Row],[Ticket_Revenue_INR]:[Cargo_Revenue_INR]])</f>
        <v>578696</v>
      </c>
      <c r="P225" s="4">
        <v>348255</v>
      </c>
      <c r="Q225" s="4">
        <v>815410</v>
      </c>
      <c r="R225" s="4">
        <f>SUM(Table1_1[[#This Row],[Fuel_Cost_INR]:[Operating_Cost_INR]])</f>
        <v>1163665</v>
      </c>
      <c r="S225" s="4">
        <f>Table1_1[[#This Row],[Total_Revenue]]-Table1_1[[#This Row],[Total_Cost]]</f>
        <v>-584969</v>
      </c>
      <c r="T225" s="9">
        <f>(Table1_1[[#This Row],[Total_Profit]]/Table1_1[[#This Row],[Total_Revenue]])</f>
        <v>-1.0108398883005931</v>
      </c>
      <c r="U225" s="5">
        <v>6</v>
      </c>
      <c r="V225" s="6" t="s">
        <v>33</v>
      </c>
      <c r="W225" s="8">
        <v>4</v>
      </c>
      <c r="X225" t="str" cm="1">
        <f t="array" ref="X225">_xlfn.IFS(Table1_1[[#This Row],[Customer_Rating]]&lt;3,"Poor",Table1_1[[#This Row],[Customer_Rating]]&lt;4,"Good",Table1_1[[#This Row],[Customer_Rating]]&gt;=4,"Excellent")</f>
        <v>Excellent</v>
      </c>
    </row>
    <row r="226" spans="1:24" x14ac:dyDescent="0.35">
      <c r="A226" s="2" t="s">
        <v>425</v>
      </c>
      <c r="B226" s="3">
        <v>45706</v>
      </c>
      <c r="C226" s="3" t="str">
        <f>TEXT(Table1_1[[#This Row],[Date]],"YYYY")</f>
        <v>2025</v>
      </c>
      <c r="D226" s="3" t="str">
        <f>TEXT(Table1_1[[#This Row],[Date]],"mmm")</f>
        <v>Feb</v>
      </c>
      <c r="E226" s="2" t="s">
        <v>16</v>
      </c>
      <c r="F226" s="2" t="str">
        <f>INDEX(IndiGo_Flight_Data!$R$2:$R$11,MATCH(Table1_1[[#This Row],[Route]],_xlfn.ANCHORARRAY(IndiGo_Flight_Data!$Q$2),0))</f>
        <v>Delhi - Goa</v>
      </c>
      <c r="G226" s="2" t="s">
        <v>17</v>
      </c>
      <c r="H226">
        <v>71</v>
      </c>
      <c r="I226">
        <v>78</v>
      </c>
      <c r="J226">
        <f>Table1_1[[#This Row],[Seat_Capacity]]-Table1_1[[#This Row],[Passengers]]</f>
        <v>7</v>
      </c>
      <c r="K226">
        <v>91.03</v>
      </c>
      <c r="L226" t="str" cm="1">
        <f t="array" ref="L226">_xlfn.IFS(Table1_1[[#This Row],[Load_Factor_%]]&lt;60,"Low",Table1_1[[#This Row],[Load_Factor_%]]&lt;85,"Intermediate",Table1_1[[#This Row],[Load_Factor_%]]&gt;=85,"High")</f>
        <v>High</v>
      </c>
      <c r="M226" s="4">
        <v>599343</v>
      </c>
      <c r="N226" s="4">
        <v>91790</v>
      </c>
      <c r="O226" s="4">
        <f>SUM(Table1_1[[#This Row],[Ticket_Revenue_INR]:[Cargo_Revenue_INR]])</f>
        <v>691133</v>
      </c>
      <c r="P226" s="4">
        <v>697034</v>
      </c>
      <c r="Q226" s="4">
        <v>1351061</v>
      </c>
      <c r="R226" s="4">
        <f>SUM(Table1_1[[#This Row],[Fuel_Cost_INR]:[Operating_Cost_INR]])</f>
        <v>2048095</v>
      </c>
      <c r="S226" s="4">
        <f>Table1_1[[#This Row],[Total_Revenue]]-Table1_1[[#This Row],[Total_Cost]]</f>
        <v>-1356962</v>
      </c>
      <c r="T226" s="9">
        <f>(Table1_1[[#This Row],[Total_Profit]]/Table1_1[[#This Row],[Total_Revenue]])</f>
        <v>-1.963387654763989</v>
      </c>
      <c r="U226" s="5">
        <v>51</v>
      </c>
      <c r="V226" s="6" t="s">
        <v>18</v>
      </c>
      <c r="W226" s="8">
        <v>4.0999999999999996</v>
      </c>
      <c r="X226" t="str" cm="1">
        <f t="array" ref="X226">_xlfn.IFS(Table1_1[[#This Row],[Customer_Rating]]&lt;3,"Poor",Table1_1[[#This Row],[Customer_Rating]]&lt;4,"Good",Table1_1[[#This Row],[Customer_Rating]]&gt;=4,"Excellent")</f>
        <v>Excellent</v>
      </c>
    </row>
    <row r="227" spans="1:24" x14ac:dyDescent="0.35">
      <c r="A227" s="2" t="s">
        <v>427</v>
      </c>
      <c r="B227" s="3">
        <v>45712</v>
      </c>
      <c r="C227" s="3" t="str">
        <f>TEXT(Table1_1[[#This Row],[Date]],"YYYY")</f>
        <v>2025</v>
      </c>
      <c r="D227" s="3" t="str">
        <f>TEXT(Table1_1[[#This Row],[Date]],"mmm")</f>
        <v>Feb</v>
      </c>
      <c r="E227" s="2" t="s">
        <v>59</v>
      </c>
      <c r="F227" s="2" t="str">
        <f>INDEX(IndiGo_Flight_Data!$R$2:$R$11,MATCH(Table1_1[[#This Row],[Route]],_xlfn.ANCHORARRAY(IndiGo_Flight_Data!$Q$2),0))</f>
        <v>Bengaluru - Bombay</v>
      </c>
      <c r="G227" s="2" t="s">
        <v>24</v>
      </c>
      <c r="H227">
        <v>147</v>
      </c>
      <c r="I227">
        <v>180</v>
      </c>
      <c r="J227">
        <f>Table1_1[[#This Row],[Seat_Capacity]]-Table1_1[[#This Row],[Passengers]]</f>
        <v>33</v>
      </c>
      <c r="K227">
        <v>81.67</v>
      </c>
      <c r="L227" t="str" cm="1">
        <f t="array" ref="L227">_xlfn.IFS(Table1_1[[#This Row],[Load_Factor_%]]&lt;60,"Low",Table1_1[[#This Row],[Load_Factor_%]]&lt;85,"Intermediate",Table1_1[[#This Row],[Load_Factor_%]]&gt;=85,"High")</f>
        <v>Intermediate</v>
      </c>
      <c r="M227" s="4">
        <v>1320405</v>
      </c>
      <c r="N227" s="4">
        <v>92538</v>
      </c>
      <c r="O227" s="4">
        <f>SUM(Table1_1[[#This Row],[Ticket_Revenue_INR]:[Cargo_Revenue_INR]])</f>
        <v>1412943</v>
      </c>
      <c r="P227" s="4">
        <v>908113</v>
      </c>
      <c r="Q227" s="4">
        <v>1225730</v>
      </c>
      <c r="R227" s="4">
        <f>SUM(Table1_1[[#This Row],[Fuel_Cost_INR]:[Operating_Cost_INR]])</f>
        <v>2133843</v>
      </c>
      <c r="S227" s="4">
        <f>Table1_1[[#This Row],[Total_Revenue]]-Table1_1[[#This Row],[Total_Cost]]</f>
        <v>-720900</v>
      </c>
      <c r="T227" s="9">
        <f>(Table1_1[[#This Row],[Total_Profit]]/Table1_1[[#This Row],[Total_Revenue]])</f>
        <v>-0.510211664589442</v>
      </c>
      <c r="U227" s="5">
        <v>89</v>
      </c>
      <c r="V227" s="6" t="s">
        <v>18</v>
      </c>
      <c r="W227" s="8">
        <v>4.8</v>
      </c>
      <c r="X227" t="str" cm="1">
        <f t="array" ref="X227">_xlfn.IFS(Table1_1[[#This Row],[Customer_Rating]]&lt;3,"Poor",Table1_1[[#This Row],[Customer_Rating]]&lt;4,"Good",Table1_1[[#This Row],[Customer_Rating]]&gt;=4,"Excellent")</f>
        <v>Excellent</v>
      </c>
    </row>
    <row r="228" spans="1:24" x14ac:dyDescent="0.35">
      <c r="A228" s="2" t="s">
        <v>429</v>
      </c>
      <c r="B228" s="3">
        <v>45846</v>
      </c>
      <c r="C228" s="3" t="str">
        <f>TEXT(Table1_1[[#This Row],[Date]],"YYYY")</f>
        <v>2025</v>
      </c>
      <c r="D228" s="3" t="str">
        <f>TEXT(Table1_1[[#This Row],[Date]],"mmm")</f>
        <v>Jul</v>
      </c>
      <c r="E228" s="2" t="s">
        <v>32</v>
      </c>
      <c r="F228" s="2" t="str">
        <f>INDEX(IndiGo_Flight_Data!$R$2:$R$11,MATCH(Table1_1[[#This Row],[Route]],_xlfn.ANCHORARRAY(IndiGo_Flight_Data!$Q$2),0))</f>
        <v>Bengaluru - Cochin</v>
      </c>
      <c r="G228" s="2" t="s">
        <v>43</v>
      </c>
      <c r="H228">
        <v>143</v>
      </c>
      <c r="I228">
        <v>232</v>
      </c>
      <c r="J228">
        <f>Table1_1[[#This Row],[Seat_Capacity]]-Table1_1[[#This Row],[Passengers]]</f>
        <v>89</v>
      </c>
      <c r="K228">
        <v>61.64</v>
      </c>
      <c r="L228" t="str" cm="1">
        <f t="array" ref="L228">_xlfn.IFS(Table1_1[[#This Row],[Load_Factor_%]]&lt;60,"Low",Table1_1[[#This Row],[Load_Factor_%]]&lt;85,"Intermediate",Table1_1[[#This Row],[Load_Factor_%]]&gt;=85,"High")</f>
        <v>Intermediate</v>
      </c>
      <c r="M228" s="4">
        <v>1007456</v>
      </c>
      <c r="N228" s="4">
        <v>114108</v>
      </c>
      <c r="O228" s="4">
        <f>SUM(Table1_1[[#This Row],[Ticket_Revenue_INR]:[Cargo_Revenue_INR]])</f>
        <v>1121564</v>
      </c>
      <c r="P228" s="4">
        <v>901827</v>
      </c>
      <c r="Q228" s="4">
        <v>1352087</v>
      </c>
      <c r="R228" s="4">
        <f>SUM(Table1_1[[#This Row],[Fuel_Cost_INR]:[Operating_Cost_INR]])</f>
        <v>2253914</v>
      </c>
      <c r="S228" s="4">
        <f>Table1_1[[#This Row],[Total_Revenue]]-Table1_1[[#This Row],[Total_Cost]]</f>
        <v>-1132350</v>
      </c>
      <c r="T228" s="9">
        <f>(Table1_1[[#This Row],[Total_Profit]]/Table1_1[[#This Row],[Total_Revenue]])</f>
        <v>-1.0096169277901217</v>
      </c>
      <c r="U228" s="5">
        <v>2</v>
      </c>
      <c r="V228" s="6" t="s">
        <v>33</v>
      </c>
      <c r="W228" s="8">
        <v>3.8</v>
      </c>
      <c r="X228" t="str" cm="1">
        <f t="array" ref="X228">_xlfn.IFS(Table1_1[[#This Row],[Customer_Rating]]&lt;3,"Poor",Table1_1[[#This Row],[Customer_Rating]]&lt;4,"Good",Table1_1[[#This Row],[Customer_Rating]]&gt;=4,"Excellent")</f>
        <v>Good</v>
      </c>
    </row>
    <row r="229" spans="1:24" x14ac:dyDescent="0.35">
      <c r="A229" s="2" t="s">
        <v>430</v>
      </c>
      <c r="B229" s="3">
        <v>45702</v>
      </c>
      <c r="C229" s="3" t="str">
        <f>TEXT(Table1_1[[#This Row],[Date]],"YYYY")</f>
        <v>2025</v>
      </c>
      <c r="D229" s="3" t="str">
        <f>TEXT(Table1_1[[#This Row],[Date]],"mmm")</f>
        <v>Feb</v>
      </c>
      <c r="E229" s="2" t="s">
        <v>29</v>
      </c>
      <c r="F229" s="2" t="str">
        <f>INDEX(IndiGo_Flight_Data!$R$2:$R$11,MATCH(Table1_1[[#This Row],[Route]],_xlfn.ANCHORARRAY(IndiGo_Flight_Data!$Q$2),0))</f>
        <v>Calacatta - Delhi</v>
      </c>
      <c r="G229" s="2" t="s">
        <v>43</v>
      </c>
      <c r="H229">
        <v>151</v>
      </c>
      <c r="I229">
        <v>232</v>
      </c>
      <c r="J229">
        <f>Table1_1[[#This Row],[Seat_Capacity]]-Table1_1[[#This Row],[Passengers]]</f>
        <v>81</v>
      </c>
      <c r="K229">
        <v>65.09</v>
      </c>
      <c r="L229" t="str" cm="1">
        <f t="array" ref="L229">_xlfn.IFS(Table1_1[[#This Row],[Load_Factor_%]]&lt;60,"Low",Table1_1[[#This Row],[Load_Factor_%]]&lt;85,"Intermediate",Table1_1[[#This Row],[Load_Factor_%]]&gt;=85,"High")</f>
        <v>Intermediate</v>
      </c>
      <c r="M229" s="4">
        <v>1281600</v>
      </c>
      <c r="N229" s="4">
        <v>117962</v>
      </c>
      <c r="O229" s="4">
        <f>SUM(Table1_1[[#This Row],[Ticket_Revenue_INR]:[Cargo_Revenue_INR]])</f>
        <v>1399562</v>
      </c>
      <c r="P229" s="4">
        <v>332847</v>
      </c>
      <c r="Q229" s="4">
        <v>723871</v>
      </c>
      <c r="R229" s="4">
        <f>SUM(Table1_1[[#This Row],[Fuel_Cost_INR]:[Operating_Cost_INR]])</f>
        <v>1056718</v>
      </c>
      <c r="S229" s="4">
        <f>Table1_1[[#This Row],[Total_Revenue]]-Table1_1[[#This Row],[Total_Cost]]</f>
        <v>342844</v>
      </c>
      <c r="T229" s="9">
        <f>(Table1_1[[#This Row],[Total_Profit]]/Table1_1[[#This Row],[Total_Revenue]])</f>
        <v>0.24496521054444176</v>
      </c>
      <c r="U229" s="5">
        <v>3</v>
      </c>
      <c r="V229" s="6" t="s">
        <v>33</v>
      </c>
      <c r="W229" s="8">
        <v>3.9</v>
      </c>
      <c r="X229" t="str" cm="1">
        <f t="array" ref="X229">_xlfn.IFS(Table1_1[[#This Row],[Customer_Rating]]&lt;3,"Poor",Table1_1[[#This Row],[Customer_Rating]]&lt;4,"Good",Table1_1[[#This Row],[Customer_Rating]]&gt;=4,"Excellent")</f>
        <v>Good</v>
      </c>
    </row>
    <row r="230" spans="1:24" x14ac:dyDescent="0.35">
      <c r="A230" s="2" t="s">
        <v>432</v>
      </c>
      <c r="B230" s="3">
        <v>45789</v>
      </c>
      <c r="C230" s="3" t="str">
        <f>TEXT(Table1_1[[#This Row],[Date]],"YYYY")</f>
        <v>2025</v>
      </c>
      <c r="D230" s="3" t="str">
        <f>TEXT(Table1_1[[#This Row],[Date]],"mmm")</f>
        <v>May</v>
      </c>
      <c r="E230" s="2" t="s">
        <v>32</v>
      </c>
      <c r="F230" s="2" t="str">
        <f>INDEX(IndiGo_Flight_Data!$R$2:$R$11,MATCH(Table1_1[[#This Row],[Route]],_xlfn.ANCHORARRAY(IndiGo_Flight_Data!$Q$2),0))</f>
        <v>Bengaluru - Cochin</v>
      </c>
      <c r="G230" s="2" t="s">
        <v>24</v>
      </c>
      <c r="H230">
        <v>163</v>
      </c>
      <c r="I230">
        <v>180</v>
      </c>
      <c r="J230">
        <f>Table1_1[[#This Row],[Seat_Capacity]]-Table1_1[[#This Row],[Passengers]]</f>
        <v>17</v>
      </c>
      <c r="K230">
        <v>90.56</v>
      </c>
      <c r="L230" t="str" cm="1">
        <f t="array" ref="L230">_xlfn.IFS(Table1_1[[#This Row],[Load_Factor_%]]&lt;60,"Low",Table1_1[[#This Row],[Load_Factor_%]]&lt;85,"Intermediate",Table1_1[[#This Row],[Load_Factor_%]]&gt;=85,"High")</f>
        <v>High</v>
      </c>
      <c r="M230" s="4">
        <v>1182532</v>
      </c>
      <c r="N230" s="4">
        <v>138360</v>
      </c>
      <c r="O230" s="4">
        <f>SUM(Table1_1[[#This Row],[Ticket_Revenue_INR]:[Cargo_Revenue_INR]])</f>
        <v>1320892</v>
      </c>
      <c r="P230" s="4">
        <v>350500</v>
      </c>
      <c r="Q230" s="4">
        <v>1002167</v>
      </c>
      <c r="R230" s="4">
        <f>SUM(Table1_1[[#This Row],[Fuel_Cost_INR]:[Operating_Cost_INR]])</f>
        <v>1352667</v>
      </c>
      <c r="S230" s="4">
        <f>Table1_1[[#This Row],[Total_Revenue]]-Table1_1[[#This Row],[Total_Cost]]</f>
        <v>-31775</v>
      </c>
      <c r="T230" s="9">
        <f>(Table1_1[[#This Row],[Total_Profit]]/Table1_1[[#This Row],[Total_Revenue]])</f>
        <v>-2.4055713866084433E-2</v>
      </c>
      <c r="U230" s="5">
        <v>76</v>
      </c>
      <c r="V230" s="6" t="s">
        <v>18</v>
      </c>
      <c r="W230" s="8">
        <v>3.5</v>
      </c>
      <c r="X230" t="str" cm="1">
        <f t="array" ref="X230">_xlfn.IFS(Table1_1[[#This Row],[Customer_Rating]]&lt;3,"Poor",Table1_1[[#This Row],[Customer_Rating]]&lt;4,"Good",Table1_1[[#This Row],[Customer_Rating]]&gt;=4,"Excellent")</f>
        <v>Good</v>
      </c>
    </row>
    <row r="231" spans="1:24" x14ac:dyDescent="0.35">
      <c r="A231" s="2" t="s">
        <v>433</v>
      </c>
      <c r="B231" s="3">
        <v>45799</v>
      </c>
      <c r="C231" s="3" t="str">
        <f>TEXT(Table1_1[[#This Row],[Date]],"YYYY")</f>
        <v>2025</v>
      </c>
      <c r="D231" s="3" t="str">
        <f>TEXT(Table1_1[[#This Row],[Date]],"mmm")</f>
        <v>May</v>
      </c>
      <c r="E231" s="2" t="s">
        <v>16</v>
      </c>
      <c r="F231" s="2" t="str">
        <f>INDEX(IndiGo_Flight_Data!$R$2:$R$11,MATCH(Table1_1[[#This Row],[Route]],_xlfn.ANCHORARRAY(IndiGo_Flight_Data!$Q$2),0))</f>
        <v>Delhi - Goa</v>
      </c>
      <c r="G231" s="2" t="s">
        <v>17</v>
      </c>
      <c r="H231">
        <v>66</v>
      </c>
      <c r="I231">
        <v>78</v>
      </c>
      <c r="J231">
        <f>Table1_1[[#This Row],[Seat_Capacity]]-Table1_1[[#This Row],[Passengers]]</f>
        <v>12</v>
      </c>
      <c r="K231">
        <v>84.62</v>
      </c>
      <c r="L231" t="str" cm="1">
        <f t="array" ref="L231">_xlfn.IFS(Table1_1[[#This Row],[Load_Factor_%]]&lt;60,"Low",Table1_1[[#This Row],[Load_Factor_%]]&lt;85,"Intermediate",Table1_1[[#This Row],[Load_Factor_%]]&gt;=85,"High")</f>
        <v>Intermediate</v>
      </c>
      <c r="M231" s="4">
        <v>344064</v>
      </c>
      <c r="N231" s="4">
        <v>134722</v>
      </c>
      <c r="O231" s="4">
        <f>SUM(Table1_1[[#This Row],[Ticket_Revenue_INR]:[Cargo_Revenue_INR]])</f>
        <v>478786</v>
      </c>
      <c r="P231" s="4">
        <v>326058</v>
      </c>
      <c r="Q231" s="4">
        <v>879984</v>
      </c>
      <c r="R231" s="4">
        <f>SUM(Table1_1[[#This Row],[Fuel_Cost_INR]:[Operating_Cost_INR]])</f>
        <v>1206042</v>
      </c>
      <c r="S231" s="4">
        <f>Table1_1[[#This Row],[Total_Revenue]]-Table1_1[[#This Row],[Total_Cost]]</f>
        <v>-727256</v>
      </c>
      <c r="T231" s="9">
        <f>(Table1_1[[#This Row],[Total_Profit]]/Table1_1[[#This Row],[Total_Revenue]])</f>
        <v>-1.5189583655328267</v>
      </c>
      <c r="U231" s="5">
        <v>72</v>
      </c>
      <c r="V231" s="6" t="s">
        <v>18</v>
      </c>
      <c r="W231" s="8">
        <v>3.8</v>
      </c>
      <c r="X231" t="str" cm="1">
        <f t="array" ref="X231">_xlfn.IFS(Table1_1[[#This Row],[Customer_Rating]]&lt;3,"Poor",Table1_1[[#This Row],[Customer_Rating]]&lt;4,"Good",Table1_1[[#This Row],[Customer_Rating]]&gt;=4,"Excellent")</f>
        <v>Good</v>
      </c>
    </row>
    <row r="232" spans="1:24" x14ac:dyDescent="0.35">
      <c r="A232" s="2" t="s">
        <v>435</v>
      </c>
      <c r="B232" s="3">
        <v>45949</v>
      </c>
      <c r="C232" s="3" t="str">
        <f>TEXT(Table1_1[[#This Row],[Date]],"YYYY")</f>
        <v>2025</v>
      </c>
      <c r="D232" s="3" t="str">
        <f>TEXT(Table1_1[[#This Row],[Date]],"mmm")</f>
        <v>Oct</v>
      </c>
      <c r="E232" s="2" t="s">
        <v>59</v>
      </c>
      <c r="F232" s="2" t="str">
        <f>INDEX(IndiGo_Flight_Data!$R$2:$R$11,MATCH(Table1_1[[#This Row],[Route]],_xlfn.ANCHORARRAY(IndiGo_Flight_Data!$Q$2),0))</f>
        <v>Bengaluru - Bombay</v>
      </c>
      <c r="G232" s="2" t="s">
        <v>17</v>
      </c>
      <c r="H232">
        <v>75</v>
      </c>
      <c r="I232">
        <v>78</v>
      </c>
      <c r="J232">
        <f>Table1_1[[#This Row],[Seat_Capacity]]-Table1_1[[#This Row],[Passengers]]</f>
        <v>3</v>
      </c>
      <c r="K232">
        <v>96.15</v>
      </c>
      <c r="L232" t="str" cm="1">
        <f t="array" ref="L232">_xlfn.IFS(Table1_1[[#This Row],[Load_Factor_%]]&lt;60,"Low",Table1_1[[#This Row],[Load_Factor_%]]&lt;85,"Intermediate",Table1_1[[#This Row],[Load_Factor_%]]&gt;=85,"High")</f>
        <v>High</v>
      </c>
      <c r="M232" s="4">
        <v>645464</v>
      </c>
      <c r="N232" s="4">
        <v>42165</v>
      </c>
      <c r="O232" s="4">
        <f>SUM(Table1_1[[#This Row],[Ticket_Revenue_INR]:[Cargo_Revenue_INR]])</f>
        <v>687629</v>
      </c>
      <c r="P232" s="4">
        <v>904724</v>
      </c>
      <c r="Q232" s="4">
        <v>1295850</v>
      </c>
      <c r="R232" s="4">
        <f>SUM(Table1_1[[#This Row],[Fuel_Cost_INR]:[Operating_Cost_INR]])</f>
        <v>2200574</v>
      </c>
      <c r="S232" s="4">
        <f>Table1_1[[#This Row],[Total_Revenue]]-Table1_1[[#This Row],[Total_Cost]]</f>
        <v>-1512945</v>
      </c>
      <c r="T232" s="9">
        <f>(Table1_1[[#This Row],[Total_Profit]]/Table1_1[[#This Row],[Total_Revenue]])</f>
        <v>-2.2002344287399165</v>
      </c>
      <c r="U232" s="5">
        <v>7</v>
      </c>
      <c r="V232" s="6" t="s">
        <v>33</v>
      </c>
      <c r="W232" s="8">
        <v>4.0999999999999996</v>
      </c>
      <c r="X232" t="str" cm="1">
        <f t="array" ref="X232">_xlfn.IFS(Table1_1[[#This Row],[Customer_Rating]]&lt;3,"Poor",Table1_1[[#This Row],[Customer_Rating]]&lt;4,"Good",Table1_1[[#This Row],[Customer_Rating]]&gt;=4,"Excellent")</f>
        <v>Excellent</v>
      </c>
    </row>
    <row r="233" spans="1:24" x14ac:dyDescent="0.35">
      <c r="A233" s="2" t="s">
        <v>436</v>
      </c>
      <c r="B233" s="3">
        <v>45952</v>
      </c>
      <c r="C233" s="3" t="str">
        <f>TEXT(Table1_1[[#This Row],[Date]],"YYYY")</f>
        <v>2025</v>
      </c>
      <c r="D233" s="3" t="str">
        <f>TEXT(Table1_1[[#This Row],[Date]],"mmm")</f>
        <v>Oct</v>
      </c>
      <c r="E233" s="2" t="s">
        <v>21</v>
      </c>
      <c r="F233" s="2" t="str">
        <f>INDEX(IndiGo_Flight_Data!$R$2:$R$11,MATCH(Table1_1[[#This Row],[Route]],_xlfn.ANCHORARRAY(IndiGo_Flight_Data!$Q$2),0))</f>
        <v>Bengaluru - Hyderabad</v>
      </c>
      <c r="G233" s="2" t="s">
        <v>17</v>
      </c>
      <c r="H233">
        <v>52</v>
      </c>
      <c r="I233">
        <v>78</v>
      </c>
      <c r="J233">
        <f>Table1_1[[#This Row],[Seat_Capacity]]-Table1_1[[#This Row],[Passengers]]</f>
        <v>26</v>
      </c>
      <c r="K233">
        <v>66.67</v>
      </c>
      <c r="L233" t="str" cm="1">
        <f t="array" ref="L233">_xlfn.IFS(Table1_1[[#This Row],[Load_Factor_%]]&lt;60,"Low",Table1_1[[#This Row],[Load_Factor_%]]&lt;85,"Intermediate",Table1_1[[#This Row],[Load_Factor_%]]&gt;=85,"High")</f>
        <v>Intermediate</v>
      </c>
      <c r="M233" s="4">
        <v>319314</v>
      </c>
      <c r="N233" s="4">
        <v>145115</v>
      </c>
      <c r="O233" s="4">
        <f>SUM(Table1_1[[#This Row],[Ticket_Revenue_INR]:[Cargo_Revenue_INR]])</f>
        <v>464429</v>
      </c>
      <c r="P233" s="4">
        <v>631949</v>
      </c>
      <c r="Q233" s="4">
        <v>1166087</v>
      </c>
      <c r="R233" s="4">
        <f>SUM(Table1_1[[#This Row],[Fuel_Cost_INR]:[Operating_Cost_INR]])</f>
        <v>1798036</v>
      </c>
      <c r="S233" s="4">
        <f>Table1_1[[#This Row],[Total_Revenue]]-Table1_1[[#This Row],[Total_Cost]]</f>
        <v>-1333607</v>
      </c>
      <c r="T233" s="9">
        <f>(Table1_1[[#This Row],[Total_Profit]]/Table1_1[[#This Row],[Total_Revenue]])</f>
        <v>-2.8714981191958295</v>
      </c>
      <c r="U233" s="5">
        <v>44</v>
      </c>
      <c r="V233" s="6" t="s">
        <v>18</v>
      </c>
      <c r="W233" s="8">
        <v>4.0999999999999996</v>
      </c>
      <c r="X233" t="str" cm="1">
        <f t="array" ref="X233">_xlfn.IFS(Table1_1[[#This Row],[Customer_Rating]]&lt;3,"Poor",Table1_1[[#This Row],[Customer_Rating]]&lt;4,"Good",Table1_1[[#This Row],[Customer_Rating]]&gt;=4,"Excellent")</f>
        <v>Excellent</v>
      </c>
    </row>
    <row r="234" spans="1:24" x14ac:dyDescent="0.35">
      <c r="A234" s="2" t="s">
        <v>437</v>
      </c>
      <c r="B234" s="3">
        <v>45953</v>
      </c>
      <c r="C234" s="3" t="str">
        <f>TEXT(Table1_1[[#This Row],[Date]],"YYYY")</f>
        <v>2025</v>
      </c>
      <c r="D234" s="3" t="str">
        <f>TEXT(Table1_1[[#This Row],[Date]],"mmm")</f>
        <v>Oct</v>
      </c>
      <c r="E234" s="2" t="s">
        <v>76</v>
      </c>
      <c r="F234" s="2" t="str">
        <f>INDEX(IndiGo_Flight_Data!$R$2:$R$11,MATCH(Table1_1[[#This Row],[Route]],_xlfn.ANCHORARRAY(IndiGo_Flight_Data!$Q$2),0))</f>
        <v>Madras - Delhi</v>
      </c>
      <c r="G234" s="2" t="s">
        <v>43</v>
      </c>
      <c r="H234">
        <v>139</v>
      </c>
      <c r="I234">
        <v>232</v>
      </c>
      <c r="J234">
        <f>Table1_1[[#This Row],[Seat_Capacity]]-Table1_1[[#This Row],[Passengers]]</f>
        <v>93</v>
      </c>
      <c r="K234">
        <v>59.91</v>
      </c>
      <c r="L234" t="str" cm="1">
        <f t="array" ref="L234">_xlfn.IFS(Table1_1[[#This Row],[Load_Factor_%]]&lt;60,"Low",Table1_1[[#This Row],[Load_Factor_%]]&lt;85,"Intermediate",Table1_1[[#This Row],[Load_Factor_%]]&gt;=85,"High")</f>
        <v>Low</v>
      </c>
      <c r="M234" s="4">
        <v>589971</v>
      </c>
      <c r="N234" s="4">
        <v>149017</v>
      </c>
      <c r="O234" s="4">
        <f>SUM(Table1_1[[#This Row],[Ticket_Revenue_INR]:[Cargo_Revenue_INR]])</f>
        <v>738988</v>
      </c>
      <c r="P234" s="4">
        <v>450205</v>
      </c>
      <c r="Q234" s="4">
        <v>1126795</v>
      </c>
      <c r="R234" s="4">
        <f>SUM(Table1_1[[#This Row],[Fuel_Cost_INR]:[Operating_Cost_INR]])</f>
        <v>1577000</v>
      </c>
      <c r="S234" s="4">
        <f>Table1_1[[#This Row],[Total_Revenue]]-Table1_1[[#This Row],[Total_Cost]]</f>
        <v>-838012</v>
      </c>
      <c r="T234" s="9">
        <f>(Table1_1[[#This Row],[Total_Profit]]/Table1_1[[#This Row],[Total_Revenue]])</f>
        <v>-1.133999469544837</v>
      </c>
      <c r="U234" s="5">
        <v>51</v>
      </c>
      <c r="V234" s="6" t="s">
        <v>18</v>
      </c>
      <c r="W234" s="8">
        <v>3.2</v>
      </c>
      <c r="X234" t="str" cm="1">
        <f t="array" ref="X234">_xlfn.IFS(Table1_1[[#This Row],[Customer_Rating]]&lt;3,"Poor",Table1_1[[#This Row],[Customer_Rating]]&lt;4,"Good",Table1_1[[#This Row],[Customer_Rating]]&gt;=4,"Excellent")</f>
        <v>Good</v>
      </c>
    </row>
    <row r="235" spans="1:24" x14ac:dyDescent="0.35">
      <c r="A235" s="2" t="s">
        <v>439</v>
      </c>
      <c r="B235" s="3">
        <v>45667</v>
      </c>
      <c r="C235" s="3" t="str">
        <f>TEXT(Table1_1[[#This Row],[Date]],"YYYY")</f>
        <v>2025</v>
      </c>
      <c r="D235" s="3" t="str">
        <f>TEXT(Table1_1[[#This Row],[Date]],"mmm")</f>
        <v>Jan</v>
      </c>
      <c r="E235" s="2" t="s">
        <v>39</v>
      </c>
      <c r="F235" s="2" t="str">
        <f>INDEX(IndiGo_Flight_Data!$R$2:$R$11,MATCH(Table1_1[[#This Row],[Route]],_xlfn.ANCHORARRAY(IndiGo_Flight_Data!$Q$2),0))</f>
        <v>Bengaluru - Delhi</v>
      </c>
      <c r="G235" s="2" t="s">
        <v>43</v>
      </c>
      <c r="H235">
        <v>167</v>
      </c>
      <c r="I235">
        <v>232</v>
      </c>
      <c r="J235">
        <f>Table1_1[[#This Row],[Seat_Capacity]]-Table1_1[[#This Row],[Passengers]]</f>
        <v>65</v>
      </c>
      <c r="K235">
        <v>71.98</v>
      </c>
      <c r="L235" t="str" cm="1">
        <f t="array" ref="L235">_xlfn.IFS(Table1_1[[#This Row],[Load_Factor_%]]&lt;60,"Low",Table1_1[[#This Row],[Load_Factor_%]]&lt;85,"Intermediate",Table1_1[[#This Row],[Load_Factor_%]]&gt;=85,"High")</f>
        <v>Intermediate</v>
      </c>
      <c r="M235" s="4">
        <v>996403</v>
      </c>
      <c r="N235" s="4">
        <v>87276</v>
      </c>
      <c r="O235" s="4">
        <f>SUM(Table1_1[[#This Row],[Ticket_Revenue_INR]:[Cargo_Revenue_INR]])</f>
        <v>1083679</v>
      </c>
      <c r="P235" s="4">
        <v>1060329</v>
      </c>
      <c r="Q235" s="4">
        <v>1257741</v>
      </c>
      <c r="R235" s="4">
        <f>SUM(Table1_1[[#This Row],[Fuel_Cost_INR]:[Operating_Cost_INR]])</f>
        <v>2318070</v>
      </c>
      <c r="S235" s="4">
        <f>Table1_1[[#This Row],[Total_Revenue]]-Table1_1[[#This Row],[Total_Cost]]</f>
        <v>-1234391</v>
      </c>
      <c r="T235" s="9">
        <f>(Table1_1[[#This Row],[Total_Profit]]/Table1_1[[#This Row],[Total_Revenue]])</f>
        <v>-1.1390743938011163</v>
      </c>
      <c r="U235" s="5">
        <v>88</v>
      </c>
      <c r="V235" s="6" t="s">
        <v>18</v>
      </c>
      <c r="W235" s="8">
        <v>4.7</v>
      </c>
      <c r="X235" t="str" cm="1">
        <f t="array" ref="X235">_xlfn.IFS(Table1_1[[#This Row],[Customer_Rating]]&lt;3,"Poor",Table1_1[[#This Row],[Customer_Rating]]&lt;4,"Good",Table1_1[[#This Row],[Customer_Rating]]&gt;=4,"Excellent")</f>
        <v>Excellent</v>
      </c>
    </row>
    <row r="236" spans="1:24" x14ac:dyDescent="0.35">
      <c r="A236" s="2" t="s">
        <v>441</v>
      </c>
      <c r="B236" s="3">
        <v>45764</v>
      </c>
      <c r="C236" s="3" t="str">
        <f>TEXT(Table1_1[[#This Row],[Date]],"YYYY")</f>
        <v>2025</v>
      </c>
      <c r="D236" s="3" t="str">
        <f>TEXT(Table1_1[[#This Row],[Date]],"mmm")</f>
        <v>Apr</v>
      </c>
      <c r="E236" s="2" t="s">
        <v>32</v>
      </c>
      <c r="F236" s="2" t="str">
        <f>INDEX(IndiGo_Flight_Data!$R$2:$R$11,MATCH(Table1_1[[#This Row],[Route]],_xlfn.ANCHORARRAY(IndiGo_Flight_Data!$Q$2),0))</f>
        <v>Bengaluru - Cochin</v>
      </c>
      <c r="G236" s="2" t="s">
        <v>24</v>
      </c>
      <c r="H236">
        <v>145</v>
      </c>
      <c r="I236">
        <v>180</v>
      </c>
      <c r="J236">
        <f>Table1_1[[#This Row],[Seat_Capacity]]-Table1_1[[#This Row],[Passengers]]</f>
        <v>35</v>
      </c>
      <c r="K236">
        <v>80.56</v>
      </c>
      <c r="L236" t="str" cm="1">
        <f t="array" ref="L236">_xlfn.IFS(Table1_1[[#This Row],[Load_Factor_%]]&lt;60,"Low",Table1_1[[#This Row],[Load_Factor_%]]&lt;85,"Intermediate",Table1_1[[#This Row],[Load_Factor_%]]&gt;=85,"High")</f>
        <v>Intermediate</v>
      </c>
      <c r="M236" s="4">
        <v>1229573</v>
      </c>
      <c r="N236" s="4">
        <v>107739</v>
      </c>
      <c r="O236" s="4">
        <f>SUM(Table1_1[[#This Row],[Ticket_Revenue_INR]:[Cargo_Revenue_INR]])</f>
        <v>1337312</v>
      </c>
      <c r="P236" s="4">
        <v>1004016</v>
      </c>
      <c r="Q236" s="4">
        <v>1589588</v>
      </c>
      <c r="R236" s="4">
        <f>SUM(Table1_1[[#This Row],[Fuel_Cost_INR]:[Operating_Cost_INR]])</f>
        <v>2593604</v>
      </c>
      <c r="S236" s="4">
        <f>Table1_1[[#This Row],[Total_Revenue]]-Table1_1[[#This Row],[Total_Cost]]</f>
        <v>-1256292</v>
      </c>
      <c r="T236" s="9">
        <f>(Table1_1[[#This Row],[Total_Profit]]/Table1_1[[#This Row],[Total_Revenue]])</f>
        <v>-0.93941578330262498</v>
      </c>
      <c r="U236" s="5">
        <v>5</v>
      </c>
      <c r="V236" s="6" t="s">
        <v>33</v>
      </c>
      <c r="W236" s="8">
        <v>4.0999999999999996</v>
      </c>
      <c r="X236" t="str" cm="1">
        <f t="array" ref="X236">_xlfn.IFS(Table1_1[[#This Row],[Customer_Rating]]&lt;3,"Poor",Table1_1[[#This Row],[Customer_Rating]]&lt;4,"Good",Table1_1[[#This Row],[Customer_Rating]]&gt;=4,"Excellent")</f>
        <v>Excellent</v>
      </c>
    </row>
    <row r="237" spans="1:24" x14ac:dyDescent="0.35">
      <c r="A237" s="2" t="s">
        <v>442</v>
      </c>
      <c r="B237" s="3">
        <v>45693</v>
      </c>
      <c r="C237" s="3" t="str">
        <f>TEXT(Table1_1[[#This Row],[Date]],"YYYY")</f>
        <v>2025</v>
      </c>
      <c r="D237" s="3" t="str">
        <f>TEXT(Table1_1[[#This Row],[Date]],"mmm")</f>
        <v>Feb</v>
      </c>
      <c r="E237" s="2" t="s">
        <v>36</v>
      </c>
      <c r="F237" s="2" t="str">
        <f>INDEX(IndiGo_Flight_Data!$R$2:$R$11,MATCH(Table1_1[[#This Row],[Route]],_xlfn.ANCHORARRAY(IndiGo_Flight_Data!$Q$2),0))</f>
        <v>Delhi - Bombay</v>
      </c>
      <c r="G237" s="2" t="s">
        <v>24</v>
      </c>
      <c r="H237">
        <v>120</v>
      </c>
      <c r="I237">
        <v>180</v>
      </c>
      <c r="J237">
        <f>Table1_1[[#This Row],[Seat_Capacity]]-Table1_1[[#This Row],[Passengers]]</f>
        <v>60</v>
      </c>
      <c r="K237">
        <v>66.67</v>
      </c>
      <c r="L237" t="str" cm="1">
        <f t="array" ref="L237">_xlfn.IFS(Table1_1[[#This Row],[Load_Factor_%]]&lt;60,"Low",Table1_1[[#This Row],[Load_Factor_%]]&lt;85,"Intermediate",Table1_1[[#This Row],[Load_Factor_%]]&gt;=85,"High")</f>
        <v>Intermediate</v>
      </c>
      <c r="M237" s="4">
        <v>665414</v>
      </c>
      <c r="N237" s="4">
        <v>93021</v>
      </c>
      <c r="O237" s="4">
        <f>SUM(Table1_1[[#This Row],[Ticket_Revenue_INR]:[Cargo_Revenue_INR]])</f>
        <v>758435</v>
      </c>
      <c r="P237" s="4">
        <v>1054501</v>
      </c>
      <c r="Q237" s="4">
        <v>1714415</v>
      </c>
      <c r="R237" s="4">
        <f>SUM(Table1_1[[#This Row],[Fuel_Cost_INR]:[Operating_Cost_INR]])</f>
        <v>2768916</v>
      </c>
      <c r="S237" s="4">
        <f>Table1_1[[#This Row],[Total_Revenue]]-Table1_1[[#This Row],[Total_Cost]]</f>
        <v>-2010481</v>
      </c>
      <c r="T237" s="9">
        <f>(Table1_1[[#This Row],[Total_Profit]]/Table1_1[[#This Row],[Total_Revenue]])</f>
        <v>-2.65082835048488</v>
      </c>
      <c r="U237" s="5">
        <v>72</v>
      </c>
      <c r="V237" s="6" t="s">
        <v>18</v>
      </c>
      <c r="W237" s="8">
        <v>4.4000000000000004</v>
      </c>
      <c r="X237" t="str" cm="1">
        <f t="array" ref="X237">_xlfn.IFS(Table1_1[[#This Row],[Customer_Rating]]&lt;3,"Poor",Table1_1[[#This Row],[Customer_Rating]]&lt;4,"Good",Table1_1[[#This Row],[Customer_Rating]]&gt;=4,"Excellent")</f>
        <v>Excellent</v>
      </c>
    </row>
    <row r="238" spans="1:24" x14ac:dyDescent="0.35">
      <c r="A238" s="2" t="s">
        <v>443</v>
      </c>
      <c r="B238" s="3">
        <v>45866</v>
      </c>
      <c r="C238" s="3" t="str">
        <f>TEXT(Table1_1[[#This Row],[Date]],"YYYY")</f>
        <v>2025</v>
      </c>
      <c r="D238" s="3" t="str">
        <f>TEXT(Table1_1[[#This Row],[Date]],"mmm")</f>
        <v>Jul</v>
      </c>
      <c r="E238" s="2" t="s">
        <v>39</v>
      </c>
      <c r="F238" s="2" t="str">
        <f>INDEX(IndiGo_Flight_Data!$R$2:$R$11,MATCH(Table1_1[[#This Row],[Route]],_xlfn.ANCHORARRAY(IndiGo_Flight_Data!$Q$2),0))</f>
        <v>Bengaluru - Delhi</v>
      </c>
      <c r="G238" s="2" t="s">
        <v>24</v>
      </c>
      <c r="H238">
        <v>122</v>
      </c>
      <c r="I238">
        <v>180</v>
      </c>
      <c r="J238">
        <f>Table1_1[[#This Row],[Seat_Capacity]]-Table1_1[[#This Row],[Passengers]]</f>
        <v>58</v>
      </c>
      <c r="K238">
        <v>67.78</v>
      </c>
      <c r="L238" t="str" cm="1">
        <f t="array" ref="L238">_xlfn.IFS(Table1_1[[#This Row],[Load_Factor_%]]&lt;60,"Low",Table1_1[[#This Row],[Load_Factor_%]]&lt;85,"Intermediate",Table1_1[[#This Row],[Load_Factor_%]]&gt;=85,"High")</f>
        <v>Intermediate</v>
      </c>
      <c r="M238" s="4">
        <v>967037</v>
      </c>
      <c r="N238" s="4">
        <v>82065</v>
      </c>
      <c r="O238" s="4">
        <f>SUM(Table1_1[[#This Row],[Ticket_Revenue_INR]:[Cargo_Revenue_INR]])</f>
        <v>1049102</v>
      </c>
      <c r="P238" s="4">
        <v>556408</v>
      </c>
      <c r="Q238" s="4">
        <v>760252</v>
      </c>
      <c r="R238" s="4">
        <f>SUM(Table1_1[[#This Row],[Fuel_Cost_INR]:[Operating_Cost_INR]])</f>
        <v>1316660</v>
      </c>
      <c r="S238" s="4">
        <f>Table1_1[[#This Row],[Total_Revenue]]-Table1_1[[#This Row],[Total_Cost]]</f>
        <v>-267558</v>
      </c>
      <c r="T238" s="9">
        <f>(Table1_1[[#This Row],[Total_Profit]]/Table1_1[[#This Row],[Total_Revenue]])</f>
        <v>-0.25503525872603428</v>
      </c>
      <c r="U238" s="5">
        <v>41</v>
      </c>
      <c r="V238" s="6" t="s">
        <v>18</v>
      </c>
      <c r="W238" s="8">
        <v>4.4000000000000004</v>
      </c>
      <c r="X238" t="str" cm="1">
        <f t="array" ref="X238">_xlfn.IFS(Table1_1[[#This Row],[Customer_Rating]]&lt;3,"Poor",Table1_1[[#This Row],[Customer_Rating]]&lt;4,"Good",Table1_1[[#This Row],[Customer_Rating]]&gt;=4,"Excellent")</f>
        <v>Excellent</v>
      </c>
    </row>
    <row r="239" spans="1:24" x14ac:dyDescent="0.35">
      <c r="A239" s="2" t="s">
        <v>444</v>
      </c>
      <c r="B239" s="3">
        <v>45671</v>
      </c>
      <c r="C239" s="3" t="str">
        <f>TEXT(Table1_1[[#This Row],[Date]],"YYYY")</f>
        <v>2025</v>
      </c>
      <c r="D239" s="3" t="str">
        <f>TEXT(Table1_1[[#This Row],[Date]],"mmm")</f>
        <v>Jan</v>
      </c>
      <c r="E239" s="2" t="s">
        <v>21</v>
      </c>
      <c r="F239" s="2" t="str">
        <f>INDEX(IndiGo_Flight_Data!$R$2:$R$11,MATCH(Table1_1[[#This Row],[Route]],_xlfn.ANCHORARRAY(IndiGo_Flight_Data!$Q$2),0))</f>
        <v>Bengaluru - Hyderabad</v>
      </c>
      <c r="G239" s="2" t="s">
        <v>17</v>
      </c>
      <c r="H239">
        <v>67</v>
      </c>
      <c r="I239">
        <v>78</v>
      </c>
      <c r="J239">
        <f>Table1_1[[#This Row],[Seat_Capacity]]-Table1_1[[#This Row],[Passengers]]</f>
        <v>11</v>
      </c>
      <c r="K239">
        <v>85.9</v>
      </c>
      <c r="L239" t="str" cm="1">
        <f t="array" ref="L239">_xlfn.IFS(Table1_1[[#This Row],[Load_Factor_%]]&lt;60,"Low",Table1_1[[#This Row],[Load_Factor_%]]&lt;85,"Intermediate",Table1_1[[#This Row],[Load_Factor_%]]&gt;=85,"High")</f>
        <v>High</v>
      </c>
      <c r="M239" s="4">
        <v>325896</v>
      </c>
      <c r="N239" s="4">
        <v>99465</v>
      </c>
      <c r="O239" s="4">
        <f>SUM(Table1_1[[#This Row],[Ticket_Revenue_INR]:[Cargo_Revenue_INR]])</f>
        <v>425361</v>
      </c>
      <c r="P239" s="4">
        <v>1001117</v>
      </c>
      <c r="Q239" s="4">
        <v>1688668</v>
      </c>
      <c r="R239" s="4">
        <f>SUM(Table1_1[[#This Row],[Fuel_Cost_INR]:[Operating_Cost_INR]])</f>
        <v>2689785</v>
      </c>
      <c r="S239" s="4">
        <f>Table1_1[[#This Row],[Total_Revenue]]-Table1_1[[#This Row],[Total_Cost]]</f>
        <v>-2264424</v>
      </c>
      <c r="T239" s="9">
        <f>(Table1_1[[#This Row],[Total_Profit]]/Table1_1[[#This Row],[Total_Revenue]])</f>
        <v>-5.3235345976711548</v>
      </c>
      <c r="U239" s="5">
        <v>75</v>
      </c>
      <c r="V239" s="6" t="s">
        <v>18</v>
      </c>
      <c r="W239" s="8">
        <v>4.3</v>
      </c>
      <c r="X239" t="str" cm="1">
        <f t="array" ref="X239">_xlfn.IFS(Table1_1[[#This Row],[Customer_Rating]]&lt;3,"Poor",Table1_1[[#This Row],[Customer_Rating]]&lt;4,"Good",Table1_1[[#This Row],[Customer_Rating]]&gt;=4,"Excellent")</f>
        <v>Excellent</v>
      </c>
    </row>
    <row r="240" spans="1:24" x14ac:dyDescent="0.35">
      <c r="A240" s="2" t="s">
        <v>445</v>
      </c>
      <c r="B240" s="3">
        <v>45924</v>
      </c>
      <c r="C240" s="3" t="str">
        <f>TEXT(Table1_1[[#This Row],[Date]],"YYYY")</f>
        <v>2025</v>
      </c>
      <c r="D240" s="3" t="str">
        <f>TEXT(Table1_1[[#This Row],[Date]],"mmm")</f>
        <v>Sep</v>
      </c>
      <c r="E240" s="2" t="s">
        <v>59</v>
      </c>
      <c r="F240" s="2" t="str">
        <f>INDEX(IndiGo_Flight_Data!$R$2:$R$11,MATCH(Table1_1[[#This Row],[Route]],_xlfn.ANCHORARRAY(IndiGo_Flight_Data!$Q$2),0))</f>
        <v>Bengaluru - Bombay</v>
      </c>
      <c r="G240" s="2" t="s">
        <v>17</v>
      </c>
      <c r="H240">
        <v>52</v>
      </c>
      <c r="I240">
        <v>78</v>
      </c>
      <c r="J240">
        <f>Table1_1[[#This Row],[Seat_Capacity]]-Table1_1[[#This Row],[Passengers]]</f>
        <v>26</v>
      </c>
      <c r="K240">
        <v>66.67</v>
      </c>
      <c r="L240" t="str" cm="1">
        <f t="array" ref="L240">_xlfn.IFS(Table1_1[[#This Row],[Load_Factor_%]]&lt;60,"Low",Table1_1[[#This Row],[Load_Factor_%]]&lt;85,"Intermediate",Table1_1[[#This Row],[Load_Factor_%]]&gt;=85,"High")</f>
        <v>Intermediate</v>
      </c>
      <c r="M240" s="4">
        <v>338551</v>
      </c>
      <c r="N240" s="4">
        <v>78586</v>
      </c>
      <c r="O240" s="4">
        <f>SUM(Table1_1[[#This Row],[Ticket_Revenue_INR]:[Cargo_Revenue_INR]])</f>
        <v>417137</v>
      </c>
      <c r="P240" s="4">
        <v>602967</v>
      </c>
      <c r="Q240" s="4">
        <v>989725</v>
      </c>
      <c r="R240" s="4">
        <f>SUM(Table1_1[[#This Row],[Fuel_Cost_INR]:[Operating_Cost_INR]])</f>
        <v>1592692</v>
      </c>
      <c r="S240" s="4">
        <f>Table1_1[[#This Row],[Total_Revenue]]-Table1_1[[#This Row],[Total_Cost]]</f>
        <v>-1175555</v>
      </c>
      <c r="T240" s="9">
        <f>(Table1_1[[#This Row],[Total_Profit]]/Table1_1[[#This Row],[Total_Revenue]])</f>
        <v>-2.8181508712964805</v>
      </c>
      <c r="U240" s="5">
        <v>81</v>
      </c>
      <c r="V240" s="6" t="s">
        <v>18</v>
      </c>
      <c r="W240" s="8">
        <v>4.8</v>
      </c>
      <c r="X240" t="str" cm="1">
        <f t="array" ref="X240">_xlfn.IFS(Table1_1[[#This Row],[Customer_Rating]]&lt;3,"Poor",Table1_1[[#This Row],[Customer_Rating]]&lt;4,"Good",Table1_1[[#This Row],[Customer_Rating]]&gt;=4,"Excellent")</f>
        <v>Excellent</v>
      </c>
    </row>
    <row r="241" spans="1:24" x14ac:dyDescent="0.35">
      <c r="A241" s="2" t="s">
        <v>447</v>
      </c>
      <c r="B241" s="3">
        <v>45862</v>
      </c>
      <c r="C241" s="3" t="str">
        <f>TEXT(Table1_1[[#This Row],[Date]],"YYYY")</f>
        <v>2025</v>
      </c>
      <c r="D241" s="3" t="str">
        <f>TEXT(Table1_1[[#This Row],[Date]],"mmm")</f>
        <v>Jul</v>
      </c>
      <c r="E241" s="2" t="s">
        <v>39</v>
      </c>
      <c r="F241" s="2" t="str">
        <f>INDEX(IndiGo_Flight_Data!$R$2:$R$11,MATCH(Table1_1[[#This Row],[Route]],_xlfn.ANCHORARRAY(IndiGo_Flight_Data!$Q$2),0))</f>
        <v>Bengaluru - Delhi</v>
      </c>
      <c r="G241" s="2" t="s">
        <v>17</v>
      </c>
      <c r="H241">
        <v>62</v>
      </c>
      <c r="I241">
        <v>78</v>
      </c>
      <c r="J241">
        <f>Table1_1[[#This Row],[Seat_Capacity]]-Table1_1[[#This Row],[Passengers]]</f>
        <v>16</v>
      </c>
      <c r="K241">
        <v>79.489999999999995</v>
      </c>
      <c r="L241" t="str" cm="1">
        <f t="array" ref="L241">_xlfn.IFS(Table1_1[[#This Row],[Load_Factor_%]]&lt;60,"Low",Table1_1[[#This Row],[Load_Factor_%]]&lt;85,"Intermediate",Table1_1[[#This Row],[Load_Factor_%]]&gt;=85,"High")</f>
        <v>Intermediate</v>
      </c>
      <c r="M241" s="4">
        <v>488657</v>
      </c>
      <c r="N241" s="4">
        <v>82871</v>
      </c>
      <c r="O241" s="4">
        <f>SUM(Table1_1[[#This Row],[Ticket_Revenue_INR]:[Cargo_Revenue_INR]])</f>
        <v>571528</v>
      </c>
      <c r="P241" s="4">
        <v>818709</v>
      </c>
      <c r="Q241" s="4">
        <v>1238336</v>
      </c>
      <c r="R241" s="4">
        <f>SUM(Table1_1[[#This Row],[Fuel_Cost_INR]:[Operating_Cost_INR]])</f>
        <v>2057045</v>
      </c>
      <c r="S241" s="4">
        <f>Table1_1[[#This Row],[Total_Revenue]]-Table1_1[[#This Row],[Total_Cost]]</f>
        <v>-1485517</v>
      </c>
      <c r="T241" s="9">
        <f>(Table1_1[[#This Row],[Total_Profit]]/Table1_1[[#This Row],[Total_Revenue]])</f>
        <v>-2.5992024887669545</v>
      </c>
      <c r="U241" s="5">
        <v>50</v>
      </c>
      <c r="V241" s="6" t="s">
        <v>18</v>
      </c>
      <c r="W241" s="8">
        <v>4.5</v>
      </c>
      <c r="X241" t="str" cm="1">
        <f t="array" ref="X241">_xlfn.IFS(Table1_1[[#This Row],[Customer_Rating]]&lt;3,"Poor",Table1_1[[#This Row],[Customer_Rating]]&lt;4,"Good",Table1_1[[#This Row],[Customer_Rating]]&gt;=4,"Excellent")</f>
        <v>Excellent</v>
      </c>
    </row>
    <row r="242" spans="1:24" x14ac:dyDescent="0.35">
      <c r="A242" s="2" t="s">
        <v>449</v>
      </c>
      <c r="B242" s="3">
        <v>46004</v>
      </c>
      <c r="C242" s="3" t="str">
        <f>TEXT(Table1_1[[#This Row],[Date]],"YYYY")</f>
        <v>2025</v>
      </c>
      <c r="D242" s="3" t="str">
        <f>TEXT(Table1_1[[#This Row],[Date]],"mmm")</f>
        <v>Dec</v>
      </c>
      <c r="E242" s="2" t="s">
        <v>16</v>
      </c>
      <c r="F242" s="2" t="str">
        <f>INDEX(IndiGo_Flight_Data!$R$2:$R$11,MATCH(Table1_1[[#This Row],[Route]],_xlfn.ANCHORARRAY(IndiGo_Flight_Data!$Q$2),0))</f>
        <v>Delhi - Goa</v>
      </c>
      <c r="G242" s="2" t="s">
        <v>43</v>
      </c>
      <c r="H242">
        <v>179</v>
      </c>
      <c r="I242">
        <v>232</v>
      </c>
      <c r="J242">
        <f>Table1_1[[#This Row],[Seat_Capacity]]-Table1_1[[#This Row],[Passengers]]</f>
        <v>53</v>
      </c>
      <c r="K242">
        <v>77.16</v>
      </c>
      <c r="L242" t="str" cm="1">
        <f t="array" ref="L242">_xlfn.IFS(Table1_1[[#This Row],[Load_Factor_%]]&lt;60,"Low",Table1_1[[#This Row],[Load_Factor_%]]&lt;85,"Intermediate",Table1_1[[#This Row],[Load_Factor_%]]&gt;=85,"High")</f>
        <v>Intermediate</v>
      </c>
      <c r="M242" s="4">
        <v>1251121</v>
      </c>
      <c r="N242" s="4">
        <v>128467</v>
      </c>
      <c r="O242" s="4">
        <f>SUM(Table1_1[[#This Row],[Ticket_Revenue_INR]:[Cargo_Revenue_INR]])</f>
        <v>1379588</v>
      </c>
      <c r="P242" s="4">
        <v>480826</v>
      </c>
      <c r="Q242" s="4">
        <v>1095157</v>
      </c>
      <c r="R242" s="4">
        <f>SUM(Table1_1[[#This Row],[Fuel_Cost_INR]:[Operating_Cost_INR]])</f>
        <v>1575983</v>
      </c>
      <c r="S242" s="4">
        <f>Table1_1[[#This Row],[Total_Revenue]]-Table1_1[[#This Row],[Total_Cost]]</f>
        <v>-196395</v>
      </c>
      <c r="T242" s="9">
        <f>(Table1_1[[#This Row],[Total_Profit]]/Table1_1[[#This Row],[Total_Revenue]])</f>
        <v>-0.14235771839128783</v>
      </c>
      <c r="U242" s="5">
        <v>72</v>
      </c>
      <c r="V242" s="6" t="s">
        <v>18</v>
      </c>
      <c r="W242" s="8">
        <v>3.5</v>
      </c>
      <c r="X242" t="str" cm="1">
        <f t="array" ref="X242">_xlfn.IFS(Table1_1[[#This Row],[Customer_Rating]]&lt;3,"Poor",Table1_1[[#This Row],[Customer_Rating]]&lt;4,"Good",Table1_1[[#This Row],[Customer_Rating]]&gt;=4,"Excellent")</f>
        <v>Good</v>
      </c>
    </row>
    <row r="243" spans="1:24" x14ac:dyDescent="0.35">
      <c r="A243" s="2" t="s">
        <v>451</v>
      </c>
      <c r="B243" s="3">
        <v>45908</v>
      </c>
      <c r="C243" s="3" t="str">
        <f>TEXT(Table1_1[[#This Row],[Date]],"YYYY")</f>
        <v>2025</v>
      </c>
      <c r="D243" s="3" t="str">
        <f>TEXT(Table1_1[[#This Row],[Date]],"mmm")</f>
        <v>Sep</v>
      </c>
      <c r="E243" s="2" t="s">
        <v>29</v>
      </c>
      <c r="F243" s="2" t="str">
        <f>INDEX(IndiGo_Flight_Data!$R$2:$R$11,MATCH(Table1_1[[#This Row],[Route]],_xlfn.ANCHORARRAY(IndiGo_Flight_Data!$Q$2),0))</f>
        <v>Calacatta - Delhi</v>
      </c>
      <c r="G243" s="2" t="s">
        <v>17</v>
      </c>
      <c r="H243">
        <v>65</v>
      </c>
      <c r="I243">
        <v>78</v>
      </c>
      <c r="J243">
        <f>Table1_1[[#This Row],[Seat_Capacity]]-Table1_1[[#This Row],[Passengers]]</f>
        <v>13</v>
      </c>
      <c r="K243">
        <v>83.33</v>
      </c>
      <c r="L243" t="str" cm="1">
        <f t="array" ref="L243">_xlfn.IFS(Table1_1[[#This Row],[Load_Factor_%]]&lt;60,"Low",Table1_1[[#This Row],[Load_Factor_%]]&lt;85,"Intermediate",Table1_1[[#This Row],[Load_Factor_%]]&gt;=85,"High")</f>
        <v>Intermediate</v>
      </c>
      <c r="M243" s="4">
        <v>409387</v>
      </c>
      <c r="N243" s="4">
        <v>19628</v>
      </c>
      <c r="O243" s="4">
        <f>SUM(Table1_1[[#This Row],[Ticket_Revenue_INR]:[Cargo_Revenue_INR]])</f>
        <v>429015</v>
      </c>
      <c r="P243" s="4">
        <v>720045</v>
      </c>
      <c r="Q243" s="4">
        <v>986026</v>
      </c>
      <c r="R243" s="4">
        <f>SUM(Table1_1[[#This Row],[Fuel_Cost_INR]:[Operating_Cost_INR]])</f>
        <v>1706071</v>
      </c>
      <c r="S243" s="4">
        <f>Table1_1[[#This Row],[Total_Revenue]]-Table1_1[[#This Row],[Total_Cost]]</f>
        <v>-1277056</v>
      </c>
      <c r="T243" s="9">
        <f>(Table1_1[[#This Row],[Total_Profit]]/Table1_1[[#This Row],[Total_Revenue]])</f>
        <v>-2.976716431826393</v>
      </c>
      <c r="U243" s="5">
        <v>47</v>
      </c>
      <c r="V243" s="6" t="s">
        <v>18</v>
      </c>
      <c r="W243" s="8">
        <v>4.5</v>
      </c>
      <c r="X243" t="str" cm="1">
        <f t="array" ref="X243">_xlfn.IFS(Table1_1[[#This Row],[Customer_Rating]]&lt;3,"Poor",Table1_1[[#This Row],[Customer_Rating]]&lt;4,"Good",Table1_1[[#This Row],[Customer_Rating]]&gt;=4,"Excellent")</f>
        <v>Excellent</v>
      </c>
    </row>
    <row r="244" spans="1:24" x14ac:dyDescent="0.35">
      <c r="A244" s="2" t="s">
        <v>453</v>
      </c>
      <c r="B244" s="3">
        <v>45979</v>
      </c>
      <c r="C244" s="3" t="str">
        <f>TEXT(Table1_1[[#This Row],[Date]],"YYYY")</f>
        <v>2025</v>
      </c>
      <c r="D244" s="3" t="str">
        <f>TEXT(Table1_1[[#This Row],[Date]],"mmm")</f>
        <v>Nov</v>
      </c>
      <c r="E244" s="2" t="s">
        <v>39</v>
      </c>
      <c r="F244" s="2" t="str">
        <f>INDEX(IndiGo_Flight_Data!$R$2:$R$11,MATCH(Table1_1[[#This Row],[Route]],_xlfn.ANCHORARRAY(IndiGo_Flight_Data!$Q$2),0))</f>
        <v>Bengaluru - Delhi</v>
      </c>
      <c r="G244" s="2" t="s">
        <v>43</v>
      </c>
      <c r="H244">
        <v>181</v>
      </c>
      <c r="I244">
        <v>232</v>
      </c>
      <c r="J244">
        <f>Table1_1[[#This Row],[Seat_Capacity]]-Table1_1[[#This Row],[Passengers]]</f>
        <v>51</v>
      </c>
      <c r="K244">
        <v>78.02</v>
      </c>
      <c r="L244" t="str" cm="1">
        <f t="array" ref="L244">_xlfn.IFS(Table1_1[[#This Row],[Load_Factor_%]]&lt;60,"Low",Table1_1[[#This Row],[Load_Factor_%]]&lt;85,"Intermediate",Table1_1[[#This Row],[Load_Factor_%]]&gt;=85,"High")</f>
        <v>Intermediate</v>
      </c>
      <c r="M244" s="4">
        <v>813802</v>
      </c>
      <c r="N244" s="4">
        <v>51819</v>
      </c>
      <c r="O244" s="4">
        <f>SUM(Table1_1[[#This Row],[Ticket_Revenue_INR]:[Cargo_Revenue_INR]])</f>
        <v>865621</v>
      </c>
      <c r="P244" s="4">
        <v>637439</v>
      </c>
      <c r="Q244" s="4">
        <v>1216531</v>
      </c>
      <c r="R244" s="4">
        <f>SUM(Table1_1[[#This Row],[Fuel_Cost_INR]:[Operating_Cost_INR]])</f>
        <v>1853970</v>
      </c>
      <c r="S244" s="4">
        <f>Table1_1[[#This Row],[Total_Revenue]]-Table1_1[[#This Row],[Total_Cost]]</f>
        <v>-988349</v>
      </c>
      <c r="T244" s="9">
        <f>(Table1_1[[#This Row],[Total_Profit]]/Table1_1[[#This Row],[Total_Revenue]])</f>
        <v>-1.1417802941472077</v>
      </c>
      <c r="U244" s="5">
        <v>47</v>
      </c>
      <c r="V244" s="6" t="s">
        <v>18</v>
      </c>
      <c r="W244" s="8">
        <v>4.3</v>
      </c>
      <c r="X244" t="str" cm="1">
        <f t="array" ref="X244">_xlfn.IFS(Table1_1[[#This Row],[Customer_Rating]]&lt;3,"Poor",Table1_1[[#This Row],[Customer_Rating]]&lt;4,"Good",Table1_1[[#This Row],[Customer_Rating]]&gt;=4,"Excellent")</f>
        <v>Excellent</v>
      </c>
    </row>
    <row r="245" spans="1:24" x14ac:dyDescent="0.35">
      <c r="A245" s="2" t="s">
        <v>455</v>
      </c>
      <c r="B245" s="3">
        <v>45931</v>
      </c>
      <c r="C245" s="3" t="str">
        <f>TEXT(Table1_1[[#This Row],[Date]],"YYYY")</f>
        <v>2025</v>
      </c>
      <c r="D245" s="3" t="str">
        <f>TEXT(Table1_1[[#This Row],[Date]],"mmm")</f>
        <v>Oct</v>
      </c>
      <c r="E245" s="2" t="s">
        <v>29</v>
      </c>
      <c r="F245" s="2" t="str">
        <f>INDEX(IndiGo_Flight_Data!$R$2:$R$11,MATCH(Table1_1[[#This Row],[Route]],_xlfn.ANCHORARRAY(IndiGo_Flight_Data!$Q$2),0))</f>
        <v>Calacatta - Delhi</v>
      </c>
      <c r="G245" s="2" t="s">
        <v>17</v>
      </c>
      <c r="H245">
        <v>72</v>
      </c>
      <c r="I245">
        <v>78</v>
      </c>
      <c r="J245">
        <f>Table1_1[[#This Row],[Seat_Capacity]]-Table1_1[[#This Row],[Passengers]]</f>
        <v>6</v>
      </c>
      <c r="K245">
        <v>92.31</v>
      </c>
      <c r="L245" t="str" cm="1">
        <f t="array" ref="L245">_xlfn.IFS(Table1_1[[#This Row],[Load_Factor_%]]&lt;60,"Low",Table1_1[[#This Row],[Load_Factor_%]]&lt;85,"Intermediate",Table1_1[[#This Row],[Load_Factor_%]]&gt;=85,"High")</f>
        <v>High</v>
      </c>
      <c r="M245" s="4">
        <v>588813</v>
      </c>
      <c r="N245" s="4">
        <v>136347</v>
      </c>
      <c r="O245" s="4">
        <f>SUM(Table1_1[[#This Row],[Ticket_Revenue_INR]:[Cargo_Revenue_INR]])</f>
        <v>725160</v>
      </c>
      <c r="P245" s="4">
        <v>900159</v>
      </c>
      <c r="Q245" s="4">
        <v>1296737</v>
      </c>
      <c r="R245" s="4">
        <f>SUM(Table1_1[[#This Row],[Fuel_Cost_INR]:[Operating_Cost_INR]])</f>
        <v>2196896</v>
      </c>
      <c r="S245" s="4">
        <f>Table1_1[[#This Row],[Total_Revenue]]-Table1_1[[#This Row],[Total_Cost]]</f>
        <v>-1471736</v>
      </c>
      <c r="T245" s="9">
        <f>(Table1_1[[#This Row],[Total_Profit]]/Table1_1[[#This Row],[Total_Revenue]])</f>
        <v>-2.0295327927629763</v>
      </c>
      <c r="U245" s="5">
        <v>0</v>
      </c>
      <c r="V245" s="6" t="s">
        <v>33</v>
      </c>
      <c r="W245" s="8">
        <v>3.8</v>
      </c>
      <c r="X245" t="str" cm="1">
        <f t="array" ref="X245">_xlfn.IFS(Table1_1[[#This Row],[Customer_Rating]]&lt;3,"Poor",Table1_1[[#This Row],[Customer_Rating]]&lt;4,"Good",Table1_1[[#This Row],[Customer_Rating]]&gt;=4,"Excellent")</f>
        <v>Good</v>
      </c>
    </row>
    <row r="246" spans="1:24" x14ac:dyDescent="0.35">
      <c r="A246" s="2" t="s">
        <v>456</v>
      </c>
      <c r="B246" s="3">
        <v>45895</v>
      </c>
      <c r="C246" s="3" t="str">
        <f>TEXT(Table1_1[[#This Row],[Date]],"YYYY")</f>
        <v>2025</v>
      </c>
      <c r="D246" s="3" t="str">
        <f>TEXT(Table1_1[[#This Row],[Date]],"mmm")</f>
        <v>Aug</v>
      </c>
      <c r="E246" s="2" t="s">
        <v>21</v>
      </c>
      <c r="F246" s="2" t="str">
        <f>INDEX(IndiGo_Flight_Data!$R$2:$R$11,MATCH(Table1_1[[#This Row],[Route]],_xlfn.ANCHORARRAY(IndiGo_Flight_Data!$Q$2),0))</f>
        <v>Bengaluru - Hyderabad</v>
      </c>
      <c r="G246" s="2" t="s">
        <v>17</v>
      </c>
      <c r="H246">
        <v>69</v>
      </c>
      <c r="I246">
        <v>78</v>
      </c>
      <c r="J246">
        <f>Table1_1[[#This Row],[Seat_Capacity]]-Table1_1[[#This Row],[Passengers]]</f>
        <v>9</v>
      </c>
      <c r="K246">
        <v>88.46</v>
      </c>
      <c r="L246" t="str" cm="1">
        <f t="array" ref="L246">_xlfn.IFS(Table1_1[[#This Row],[Load_Factor_%]]&lt;60,"Low",Table1_1[[#This Row],[Load_Factor_%]]&lt;85,"Intermediate",Table1_1[[#This Row],[Load_Factor_%]]&gt;=85,"High")</f>
        <v>High</v>
      </c>
      <c r="M246" s="4">
        <v>324469</v>
      </c>
      <c r="N246" s="4">
        <v>149735</v>
      </c>
      <c r="O246" s="4">
        <f>SUM(Table1_1[[#This Row],[Ticket_Revenue_INR]:[Cargo_Revenue_INR]])</f>
        <v>474204</v>
      </c>
      <c r="P246" s="4">
        <v>303403</v>
      </c>
      <c r="Q246" s="4">
        <v>468548</v>
      </c>
      <c r="R246" s="4">
        <f>SUM(Table1_1[[#This Row],[Fuel_Cost_INR]:[Operating_Cost_INR]])</f>
        <v>771951</v>
      </c>
      <c r="S246" s="4">
        <f>Table1_1[[#This Row],[Total_Revenue]]-Table1_1[[#This Row],[Total_Cost]]</f>
        <v>-297747</v>
      </c>
      <c r="T246" s="9">
        <f>(Table1_1[[#This Row],[Total_Profit]]/Table1_1[[#This Row],[Total_Revenue]])</f>
        <v>-0.62788799757066582</v>
      </c>
      <c r="U246" s="5">
        <v>30</v>
      </c>
      <c r="V246" s="6" t="s">
        <v>18</v>
      </c>
      <c r="W246" s="8">
        <v>3.5</v>
      </c>
      <c r="X246" t="str" cm="1">
        <f t="array" ref="X246">_xlfn.IFS(Table1_1[[#This Row],[Customer_Rating]]&lt;3,"Poor",Table1_1[[#This Row],[Customer_Rating]]&lt;4,"Good",Table1_1[[#This Row],[Customer_Rating]]&gt;=4,"Excellent")</f>
        <v>Good</v>
      </c>
    </row>
    <row r="247" spans="1:24" x14ac:dyDescent="0.35">
      <c r="A247" s="2" t="s">
        <v>458</v>
      </c>
      <c r="B247" s="3">
        <v>45701</v>
      </c>
      <c r="C247" s="3" t="str">
        <f>TEXT(Table1_1[[#This Row],[Date]],"YYYY")</f>
        <v>2025</v>
      </c>
      <c r="D247" s="3" t="str">
        <f>TEXT(Table1_1[[#This Row],[Date]],"mmm")</f>
        <v>Feb</v>
      </c>
      <c r="E247" s="2" t="s">
        <v>59</v>
      </c>
      <c r="F247" s="2" t="str">
        <f>INDEX(IndiGo_Flight_Data!$R$2:$R$11,MATCH(Table1_1[[#This Row],[Route]],_xlfn.ANCHORARRAY(IndiGo_Flight_Data!$Q$2),0))</f>
        <v>Bengaluru - Bombay</v>
      </c>
      <c r="G247" s="2" t="s">
        <v>43</v>
      </c>
      <c r="H247">
        <v>198</v>
      </c>
      <c r="I247">
        <v>232</v>
      </c>
      <c r="J247">
        <f>Table1_1[[#This Row],[Seat_Capacity]]-Table1_1[[#This Row],[Passengers]]</f>
        <v>34</v>
      </c>
      <c r="K247">
        <v>85.34</v>
      </c>
      <c r="L247" t="str" cm="1">
        <f t="array" ref="L247">_xlfn.IFS(Table1_1[[#This Row],[Load_Factor_%]]&lt;60,"Low",Table1_1[[#This Row],[Load_Factor_%]]&lt;85,"Intermediate",Table1_1[[#This Row],[Load_Factor_%]]&gt;=85,"High")</f>
        <v>High</v>
      </c>
      <c r="M247" s="4">
        <v>1568965</v>
      </c>
      <c r="N247" s="4">
        <v>146514</v>
      </c>
      <c r="O247" s="4">
        <f>SUM(Table1_1[[#This Row],[Ticket_Revenue_INR]:[Cargo_Revenue_INR]])</f>
        <v>1715479</v>
      </c>
      <c r="P247" s="4">
        <v>746880</v>
      </c>
      <c r="Q247" s="4">
        <v>1421521</v>
      </c>
      <c r="R247" s="4">
        <f>SUM(Table1_1[[#This Row],[Fuel_Cost_INR]:[Operating_Cost_INR]])</f>
        <v>2168401</v>
      </c>
      <c r="S247" s="4">
        <f>Table1_1[[#This Row],[Total_Revenue]]-Table1_1[[#This Row],[Total_Cost]]</f>
        <v>-452922</v>
      </c>
      <c r="T247" s="9">
        <f>(Table1_1[[#This Row],[Total_Profit]]/Table1_1[[#This Row],[Total_Revenue]])</f>
        <v>-0.26402071957744744</v>
      </c>
      <c r="U247" s="5">
        <v>32</v>
      </c>
      <c r="V247" s="6" t="s">
        <v>18</v>
      </c>
      <c r="W247" s="8">
        <v>4</v>
      </c>
      <c r="X247" t="str" cm="1">
        <f t="array" ref="X247">_xlfn.IFS(Table1_1[[#This Row],[Customer_Rating]]&lt;3,"Poor",Table1_1[[#This Row],[Customer_Rating]]&lt;4,"Good",Table1_1[[#This Row],[Customer_Rating]]&gt;=4,"Excellent")</f>
        <v>Excellent</v>
      </c>
    </row>
    <row r="248" spans="1:24" x14ac:dyDescent="0.35">
      <c r="A248" s="2" t="s">
        <v>460</v>
      </c>
      <c r="B248" s="3">
        <v>45865</v>
      </c>
      <c r="C248" s="3" t="str">
        <f>TEXT(Table1_1[[#This Row],[Date]],"YYYY")</f>
        <v>2025</v>
      </c>
      <c r="D248" s="3" t="str">
        <f>TEXT(Table1_1[[#This Row],[Date]],"mmm")</f>
        <v>Jul</v>
      </c>
      <c r="E248" s="2" t="s">
        <v>117</v>
      </c>
      <c r="F248" s="2" t="str">
        <f>INDEX(IndiGo_Flight_Data!$R$2:$R$11,MATCH(Table1_1[[#This Row],[Route]],_xlfn.ANCHORARRAY(IndiGo_Flight_Data!$Q$2),0))</f>
        <v>Bengaluru - Calacatta</v>
      </c>
      <c r="G248" s="2" t="s">
        <v>24</v>
      </c>
      <c r="H248">
        <v>156</v>
      </c>
      <c r="I248">
        <v>180</v>
      </c>
      <c r="J248">
        <f>Table1_1[[#This Row],[Seat_Capacity]]-Table1_1[[#This Row],[Passengers]]</f>
        <v>24</v>
      </c>
      <c r="K248">
        <v>86.67</v>
      </c>
      <c r="L248" t="str" cm="1">
        <f t="array" ref="L248">_xlfn.IFS(Table1_1[[#This Row],[Load_Factor_%]]&lt;60,"Low",Table1_1[[#This Row],[Load_Factor_%]]&lt;85,"Intermediate",Table1_1[[#This Row],[Load_Factor_%]]&gt;=85,"High")</f>
        <v>High</v>
      </c>
      <c r="M248" s="4">
        <v>1057191</v>
      </c>
      <c r="N248" s="4">
        <v>21501</v>
      </c>
      <c r="O248" s="4">
        <f>SUM(Table1_1[[#This Row],[Ticket_Revenue_INR]:[Cargo_Revenue_INR]])</f>
        <v>1078692</v>
      </c>
      <c r="P248" s="4">
        <v>558525</v>
      </c>
      <c r="Q248" s="4">
        <v>1053911</v>
      </c>
      <c r="R248" s="4">
        <f>SUM(Table1_1[[#This Row],[Fuel_Cost_INR]:[Operating_Cost_INR]])</f>
        <v>1612436</v>
      </c>
      <c r="S248" s="4">
        <f>Table1_1[[#This Row],[Total_Revenue]]-Table1_1[[#This Row],[Total_Cost]]</f>
        <v>-533744</v>
      </c>
      <c r="T248" s="9">
        <f>(Table1_1[[#This Row],[Total_Profit]]/Table1_1[[#This Row],[Total_Revenue]])</f>
        <v>-0.49480667326725331</v>
      </c>
      <c r="U248" s="5">
        <v>48</v>
      </c>
      <c r="V248" s="6" t="s">
        <v>18</v>
      </c>
      <c r="W248" s="8">
        <v>3.7</v>
      </c>
      <c r="X248" t="str" cm="1">
        <f t="array" ref="X248">_xlfn.IFS(Table1_1[[#This Row],[Customer_Rating]]&lt;3,"Poor",Table1_1[[#This Row],[Customer_Rating]]&lt;4,"Good",Table1_1[[#This Row],[Customer_Rating]]&gt;=4,"Excellent")</f>
        <v>Good</v>
      </c>
    </row>
    <row r="249" spans="1:24" x14ac:dyDescent="0.35">
      <c r="A249" s="2" t="s">
        <v>462</v>
      </c>
      <c r="B249" s="3">
        <v>45931</v>
      </c>
      <c r="C249" s="3" t="str">
        <f>TEXT(Table1_1[[#This Row],[Date]],"YYYY")</f>
        <v>2025</v>
      </c>
      <c r="D249" s="3" t="str">
        <f>TEXT(Table1_1[[#This Row],[Date]],"mmm")</f>
        <v>Oct</v>
      </c>
      <c r="E249" s="2" t="s">
        <v>59</v>
      </c>
      <c r="F249" s="2" t="str">
        <f>INDEX(IndiGo_Flight_Data!$R$2:$R$11,MATCH(Table1_1[[#This Row],[Route]],_xlfn.ANCHORARRAY(IndiGo_Flight_Data!$Q$2),0))</f>
        <v>Bengaluru - Bombay</v>
      </c>
      <c r="G249" s="2" t="s">
        <v>43</v>
      </c>
      <c r="H249">
        <v>162</v>
      </c>
      <c r="I249">
        <v>232</v>
      </c>
      <c r="J249">
        <f>Table1_1[[#This Row],[Seat_Capacity]]-Table1_1[[#This Row],[Passengers]]</f>
        <v>70</v>
      </c>
      <c r="K249">
        <v>69.83</v>
      </c>
      <c r="L249" t="str" cm="1">
        <f t="array" ref="L249">_xlfn.IFS(Table1_1[[#This Row],[Load_Factor_%]]&lt;60,"Low",Table1_1[[#This Row],[Load_Factor_%]]&lt;85,"Intermediate",Table1_1[[#This Row],[Load_Factor_%]]&gt;=85,"High")</f>
        <v>Intermediate</v>
      </c>
      <c r="M249" s="4">
        <v>1332064</v>
      </c>
      <c r="N249" s="4">
        <v>66467</v>
      </c>
      <c r="O249" s="4">
        <f>SUM(Table1_1[[#This Row],[Ticket_Revenue_INR]:[Cargo_Revenue_INR]])</f>
        <v>1398531</v>
      </c>
      <c r="P249" s="4">
        <v>1071424</v>
      </c>
      <c r="Q249" s="4">
        <v>1621827</v>
      </c>
      <c r="R249" s="4">
        <f>SUM(Table1_1[[#This Row],[Fuel_Cost_INR]:[Operating_Cost_INR]])</f>
        <v>2693251</v>
      </c>
      <c r="S249" s="4">
        <f>Table1_1[[#This Row],[Total_Revenue]]-Table1_1[[#This Row],[Total_Cost]]</f>
        <v>-1294720</v>
      </c>
      <c r="T249" s="9">
        <f>(Table1_1[[#This Row],[Total_Profit]]/Table1_1[[#This Row],[Total_Revenue]])</f>
        <v>-0.92577139870335379</v>
      </c>
      <c r="U249" s="5">
        <v>40</v>
      </c>
      <c r="V249" s="6" t="s">
        <v>18</v>
      </c>
      <c r="W249" s="8">
        <v>4.4000000000000004</v>
      </c>
      <c r="X249" t="str" cm="1">
        <f t="array" ref="X249">_xlfn.IFS(Table1_1[[#This Row],[Customer_Rating]]&lt;3,"Poor",Table1_1[[#This Row],[Customer_Rating]]&lt;4,"Good",Table1_1[[#This Row],[Customer_Rating]]&gt;=4,"Excellent")</f>
        <v>Excellent</v>
      </c>
    </row>
    <row r="250" spans="1:24" x14ac:dyDescent="0.35">
      <c r="A250" s="2" t="s">
        <v>463</v>
      </c>
      <c r="B250" s="3">
        <v>45686</v>
      </c>
      <c r="C250" s="3" t="str">
        <f>TEXT(Table1_1[[#This Row],[Date]],"YYYY")</f>
        <v>2025</v>
      </c>
      <c r="D250" s="3" t="str">
        <f>TEXT(Table1_1[[#This Row],[Date]],"mmm")</f>
        <v>Jan</v>
      </c>
      <c r="E250" s="2" t="s">
        <v>32</v>
      </c>
      <c r="F250" s="2" t="str">
        <f>INDEX(IndiGo_Flight_Data!$R$2:$R$11,MATCH(Table1_1[[#This Row],[Route]],_xlfn.ANCHORARRAY(IndiGo_Flight_Data!$Q$2),0))</f>
        <v>Bengaluru - Cochin</v>
      </c>
      <c r="G250" s="2" t="s">
        <v>43</v>
      </c>
      <c r="H250">
        <v>155</v>
      </c>
      <c r="I250">
        <v>232</v>
      </c>
      <c r="J250">
        <f>Table1_1[[#This Row],[Seat_Capacity]]-Table1_1[[#This Row],[Passengers]]</f>
        <v>77</v>
      </c>
      <c r="K250">
        <v>66.81</v>
      </c>
      <c r="L250" t="str" cm="1">
        <f t="array" ref="L250">_xlfn.IFS(Table1_1[[#This Row],[Load_Factor_%]]&lt;60,"Low",Table1_1[[#This Row],[Load_Factor_%]]&lt;85,"Intermediate",Table1_1[[#This Row],[Load_Factor_%]]&gt;=85,"High")</f>
        <v>Intermediate</v>
      </c>
      <c r="M250" s="4">
        <v>1049176</v>
      </c>
      <c r="N250" s="4">
        <v>46337</v>
      </c>
      <c r="O250" s="4">
        <f>SUM(Table1_1[[#This Row],[Ticket_Revenue_INR]:[Cargo_Revenue_INR]])</f>
        <v>1095513</v>
      </c>
      <c r="P250" s="4">
        <v>306520</v>
      </c>
      <c r="Q250" s="4">
        <v>643512</v>
      </c>
      <c r="R250" s="4">
        <f>SUM(Table1_1[[#This Row],[Fuel_Cost_INR]:[Operating_Cost_INR]])</f>
        <v>950032</v>
      </c>
      <c r="S250" s="4">
        <f>Table1_1[[#This Row],[Total_Revenue]]-Table1_1[[#This Row],[Total_Cost]]</f>
        <v>145481</v>
      </c>
      <c r="T250" s="9">
        <f>(Table1_1[[#This Row],[Total_Profit]]/Table1_1[[#This Row],[Total_Revenue]])</f>
        <v>0.13279714617717908</v>
      </c>
      <c r="U250" s="5">
        <v>55</v>
      </c>
      <c r="V250" s="6" t="s">
        <v>18</v>
      </c>
      <c r="W250" s="8">
        <v>3.3</v>
      </c>
      <c r="X250" t="str" cm="1">
        <f t="array" ref="X250">_xlfn.IFS(Table1_1[[#This Row],[Customer_Rating]]&lt;3,"Poor",Table1_1[[#This Row],[Customer_Rating]]&lt;4,"Good",Table1_1[[#This Row],[Customer_Rating]]&gt;=4,"Excellent")</f>
        <v>Good</v>
      </c>
    </row>
    <row r="251" spans="1:24" x14ac:dyDescent="0.35">
      <c r="A251" s="2" t="s">
        <v>464</v>
      </c>
      <c r="B251" s="3">
        <v>45839</v>
      </c>
      <c r="C251" s="3" t="str">
        <f>TEXT(Table1_1[[#This Row],[Date]],"YYYY")</f>
        <v>2025</v>
      </c>
      <c r="D251" s="3" t="str">
        <f>TEXT(Table1_1[[#This Row],[Date]],"mmm")</f>
        <v>Jul</v>
      </c>
      <c r="E251" s="2" t="s">
        <v>21</v>
      </c>
      <c r="F251" s="2" t="str">
        <f>INDEX(IndiGo_Flight_Data!$R$2:$R$11,MATCH(Table1_1[[#This Row],[Route]],_xlfn.ANCHORARRAY(IndiGo_Flight_Data!$Q$2),0))</f>
        <v>Bengaluru - Hyderabad</v>
      </c>
      <c r="G251" s="2" t="s">
        <v>24</v>
      </c>
      <c r="H251">
        <v>173</v>
      </c>
      <c r="I251">
        <v>180</v>
      </c>
      <c r="J251">
        <f>Table1_1[[#This Row],[Seat_Capacity]]-Table1_1[[#This Row],[Passengers]]</f>
        <v>7</v>
      </c>
      <c r="K251">
        <v>96.11</v>
      </c>
      <c r="L251" t="str" cm="1">
        <f t="array" ref="L251">_xlfn.IFS(Table1_1[[#This Row],[Load_Factor_%]]&lt;60,"Low",Table1_1[[#This Row],[Load_Factor_%]]&lt;85,"Intermediate",Table1_1[[#This Row],[Load_Factor_%]]&gt;=85,"High")</f>
        <v>High</v>
      </c>
      <c r="M251" s="4">
        <v>1382241</v>
      </c>
      <c r="N251" s="4">
        <v>128409</v>
      </c>
      <c r="O251" s="4">
        <f>SUM(Table1_1[[#This Row],[Ticket_Revenue_INR]:[Cargo_Revenue_INR]])</f>
        <v>1510650</v>
      </c>
      <c r="P251" s="4">
        <v>947505</v>
      </c>
      <c r="Q251" s="4">
        <v>1381437</v>
      </c>
      <c r="R251" s="4">
        <f>SUM(Table1_1[[#This Row],[Fuel_Cost_INR]:[Operating_Cost_INR]])</f>
        <v>2328942</v>
      </c>
      <c r="S251" s="4">
        <f>Table1_1[[#This Row],[Total_Revenue]]-Table1_1[[#This Row],[Total_Cost]]</f>
        <v>-818292</v>
      </c>
      <c r="T251" s="9">
        <f>(Table1_1[[#This Row],[Total_Profit]]/Table1_1[[#This Row],[Total_Revenue]])</f>
        <v>-0.54168205739251318</v>
      </c>
      <c r="U251" s="5">
        <v>67</v>
      </c>
      <c r="V251" s="6" t="s">
        <v>18</v>
      </c>
      <c r="W251" s="8">
        <v>4.2</v>
      </c>
      <c r="X251" t="str" cm="1">
        <f t="array" ref="X251">_xlfn.IFS(Table1_1[[#This Row],[Customer_Rating]]&lt;3,"Poor",Table1_1[[#This Row],[Customer_Rating]]&lt;4,"Good",Table1_1[[#This Row],[Customer_Rating]]&gt;=4,"Excellent")</f>
        <v>Excellent</v>
      </c>
    </row>
    <row r="252" spans="1:24" x14ac:dyDescent="0.35">
      <c r="A252" s="2" t="s">
        <v>465</v>
      </c>
      <c r="B252" s="3">
        <v>45687</v>
      </c>
      <c r="C252" s="3" t="str">
        <f>TEXT(Table1_1[[#This Row],[Date]],"YYYY")</f>
        <v>2025</v>
      </c>
      <c r="D252" s="3" t="str">
        <f>TEXT(Table1_1[[#This Row],[Date]],"mmm")</f>
        <v>Jan</v>
      </c>
      <c r="E252" s="2" t="s">
        <v>39</v>
      </c>
      <c r="F252" s="2" t="str">
        <f>INDEX(IndiGo_Flight_Data!$R$2:$R$11,MATCH(Table1_1[[#This Row],[Route]],_xlfn.ANCHORARRAY(IndiGo_Flight_Data!$Q$2),0))</f>
        <v>Bengaluru - Delhi</v>
      </c>
      <c r="G252" s="2" t="s">
        <v>17</v>
      </c>
      <c r="H252">
        <v>73</v>
      </c>
      <c r="I252">
        <v>78</v>
      </c>
      <c r="J252">
        <f>Table1_1[[#This Row],[Seat_Capacity]]-Table1_1[[#This Row],[Passengers]]</f>
        <v>5</v>
      </c>
      <c r="K252">
        <v>93.59</v>
      </c>
      <c r="L252" t="str" cm="1">
        <f t="array" ref="L252">_xlfn.IFS(Table1_1[[#This Row],[Load_Factor_%]]&lt;60,"Low",Table1_1[[#This Row],[Load_Factor_%]]&lt;85,"Intermediate",Table1_1[[#This Row],[Load_Factor_%]]&gt;=85,"High")</f>
        <v>High</v>
      </c>
      <c r="M252" s="4">
        <v>534790</v>
      </c>
      <c r="N252" s="4">
        <v>64804</v>
      </c>
      <c r="O252" s="4">
        <f>SUM(Table1_1[[#This Row],[Ticket_Revenue_INR]:[Cargo_Revenue_INR]])</f>
        <v>599594</v>
      </c>
      <c r="P252" s="4">
        <v>529133</v>
      </c>
      <c r="Q252" s="4">
        <v>873298</v>
      </c>
      <c r="R252" s="4">
        <f>SUM(Table1_1[[#This Row],[Fuel_Cost_INR]:[Operating_Cost_INR]])</f>
        <v>1402431</v>
      </c>
      <c r="S252" s="4">
        <f>Table1_1[[#This Row],[Total_Revenue]]-Table1_1[[#This Row],[Total_Cost]]</f>
        <v>-802837</v>
      </c>
      <c r="T252" s="9">
        <f>(Table1_1[[#This Row],[Total_Profit]]/Table1_1[[#This Row],[Total_Revenue]])</f>
        <v>-1.3389677014780001</v>
      </c>
      <c r="U252" s="5">
        <v>3</v>
      </c>
      <c r="V252" s="6" t="s">
        <v>33</v>
      </c>
      <c r="W252" s="8">
        <v>4.3</v>
      </c>
      <c r="X252" t="str" cm="1">
        <f t="array" ref="X252">_xlfn.IFS(Table1_1[[#This Row],[Customer_Rating]]&lt;3,"Poor",Table1_1[[#This Row],[Customer_Rating]]&lt;4,"Good",Table1_1[[#This Row],[Customer_Rating]]&gt;=4,"Excellent")</f>
        <v>Excellent</v>
      </c>
    </row>
    <row r="253" spans="1:24" x14ac:dyDescent="0.35">
      <c r="A253" s="2" t="s">
        <v>467</v>
      </c>
      <c r="B253" s="3">
        <v>45766</v>
      </c>
      <c r="C253" s="3" t="str">
        <f>TEXT(Table1_1[[#This Row],[Date]],"YYYY")</f>
        <v>2025</v>
      </c>
      <c r="D253" s="3" t="str">
        <f>TEXT(Table1_1[[#This Row],[Date]],"mmm")</f>
        <v>Apr</v>
      </c>
      <c r="E253" s="2" t="s">
        <v>32</v>
      </c>
      <c r="F253" s="2" t="str">
        <f>INDEX(IndiGo_Flight_Data!$R$2:$R$11,MATCH(Table1_1[[#This Row],[Route]],_xlfn.ANCHORARRAY(IndiGo_Flight_Data!$Q$2),0))</f>
        <v>Bengaluru - Cochin</v>
      </c>
      <c r="G253" s="2" t="s">
        <v>43</v>
      </c>
      <c r="H253">
        <v>178</v>
      </c>
      <c r="I253">
        <v>232</v>
      </c>
      <c r="J253">
        <f>Table1_1[[#This Row],[Seat_Capacity]]-Table1_1[[#This Row],[Passengers]]</f>
        <v>54</v>
      </c>
      <c r="K253">
        <v>76.72</v>
      </c>
      <c r="L253" t="str" cm="1">
        <f t="array" ref="L253">_xlfn.IFS(Table1_1[[#This Row],[Load_Factor_%]]&lt;60,"Low",Table1_1[[#This Row],[Load_Factor_%]]&lt;85,"Intermediate",Table1_1[[#This Row],[Load_Factor_%]]&gt;=85,"High")</f>
        <v>Intermediate</v>
      </c>
      <c r="M253" s="4">
        <v>1155460</v>
      </c>
      <c r="N253" s="4">
        <v>26375</v>
      </c>
      <c r="O253" s="4">
        <f>SUM(Table1_1[[#This Row],[Ticket_Revenue_INR]:[Cargo_Revenue_INR]])</f>
        <v>1181835</v>
      </c>
      <c r="P253" s="4">
        <v>362562</v>
      </c>
      <c r="Q253" s="4">
        <v>769174</v>
      </c>
      <c r="R253" s="4">
        <f>SUM(Table1_1[[#This Row],[Fuel_Cost_INR]:[Operating_Cost_INR]])</f>
        <v>1131736</v>
      </c>
      <c r="S253" s="4">
        <f>Table1_1[[#This Row],[Total_Revenue]]-Table1_1[[#This Row],[Total_Cost]]</f>
        <v>50099</v>
      </c>
      <c r="T253" s="9">
        <f>(Table1_1[[#This Row],[Total_Profit]]/Table1_1[[#This Row],[Total_Revenue]])</f>
        <v>4.2390858283939806E-2</v>
      </c>
      <c r="U253" s="5">
        <v>41</v>
      </c>
      <c r="V253" s="6" t="s">
        <v>18</v>
      </c>
      <c r="W253" s="8">
        <v>4.4000000000000004</v>
      </c>
      <c r="X253" t="str" cm="1">
        <f t="array" ref="X253">_xlfn.IFS(Table1_1[[#This Row],[Customer_Rating]]&lt;3,"Poor",Table1_1[[#This Row],[Customer_Rating]]&lt;4,"Good",Table1_1[[#This Row],[Customer_Rating]]&gt;=4,"Excellent")</f>
        <v>Excellent</v>
      </c>
    </row>
    <row r="254" spans="1:24" x14ac:dyDescent="0.35">
      <c r="A254" s="2" t="s">
        <v>468</v>
      </c>
      <c r="B254" s="3">
        <v>45889</v>
      </c>
      <c r="C254" s="3" t="str">
        <f>TEXT(Table1_1[[#This Row],[Date]],"YYYY")</f>
        <v>2025</v>
      </c>
      <c r="D254" s="3" t="str">
        <f>TEXT(Table1_1[[#This Row],[Date]],"mmm")</f>
        <v>Aug</v>
      </c>
      <c r="E254" s="2" t="s">
        <v>39</v>
      </c>
      <c r="F254" s="2" t="str">
        <f>INDEX(IndiGo_Flight_Data!$R$2:$R$11,MATCH(Table1_1[[#This Row],[Route]],_xlfn.ANCHORARRAY(IndiGo_Flight_Data!$Q$2),0))</f>
        <v>Bengaluru - Delhi</v>
      </c>
      <c r="G254" s="2" t="s">
        <v>24</v>
      </c>
      <c r="H254">
        <v>118</v>
      </c>
      <c r="I254">
        <v>180</v>
      </c>
      <c r="J254">
        <f>Table1_1[[#This Row],[Seat_Capacity]]-Table1_1[[#This Row],[Passengers]]</f>
        <v>62</v>
      </c>
      <c r="K254">
        <v>65.56</v>
      </c>
      <c r="L254" t="str" cm="1">
        <f t="array" ref="L254">_xlfn.IFS(Table1_1[[#This Row],[Load_Factor_%]]&lt;60,"Low",Table1_1[[#This Row],[Load_Factor_%]]&lt;85,"Intermediate",Table1_1[[#This Row],[Load_Factor_%]]&gt;=85,"High")</f>
        <v>Intermediate</v>
      </c>
      <c r="M254" s="4">
        <v>885870</v>
      </c>
      <c r="N254" s="4">
        <v>80546</v>
      </c>
      <c r="O254" s="4">
        <f>SUM(Table1_1[[#This Row],[Ticket_Revenue_INR]:[Cargo_Revenue_INR]])</f>
        <v>966416</v>
      </c>
      <c r="P254" s="4">
        <v>654042</v>
      </c>
      <c r="Q254" s="4">
        <v>1142911</v>
      </c>
      <c r="R254" s="4">
        <f>SUM(Table1_1[[#This Row],[Fuel_Cost_INR]:[Operating_Cost_INR]])</f>
        <v>1796953</v>
      </c>
      <c r="S254" s="4">
        <f>Table1_1[[#This Row],[Total_Revenue]]-Table1_1[[#This Row],[Total_Cost]]</f>
        <v>-830537</v>
      </c>
      <c r="T254" s="9">
        <f>(Table1_1[[#This Row],[Total_Profit]]/Table1_1[[#This Row],[Total_Revenue]])</f>
        <v>-0.85939905796261651</v>
      </c>
      <c r="U254" s="5">
        <v>58</v>
      </c>
      <c r="V254" s="6" t="s">
        <v>18</v>
      </c>
      <c r="W254" s="8">
        <v>4.5</v>
      </c>
      <c r="X254" t="str" cm="1">
        <f t="array" ref="X254">_xlfn.IFS(Table1_1[[#This Row],[Customer_Rating]]&lt;3,"Poor",Table1_1[[#This Row],[Customer_Rating]]&lt;4,"Good",Table1_1[[#This Row],[Customer_Rating]]&gt;=4,"Excellent")</f>
        <v>Excellent</v>
      </c>
    </row>
    <row r="255" spans="1:24" x14ac:dyDescent="0.35">
      <c r="A255" s="2" t="s">
        <v>470</v>
      </c>
      <c r="B255" s="3">
        <v>45795</v>
      </c>
      <c r="C255" s="3" t="str">
        <f>TEXT(Table1_1[[#This Row],[Date]],"YYYY")</f>
        <v>2025</v>
      </c>
      <c r="D255" s="3" t="str">
        <f>TEXT(Table1_1[[#This Row],[Date]],"mmm")</f>
        <v>May</v>
      </c>
      <c r="E255" s="2" t="s">
        <v>76</v>
      </c>
      <c r="F255" s="2" t="str">
        <f>INDEX(IndiGo_Flight_Data!$R$2:$R$11,MATCH(Table1_1[[#This Row],[Route]],_xlfn.ANCHORARRAY(IndiGo_Flight_Data!$Q$2),0))</f>
        <v>Madras - Delhi</v>
      </c>
      <c r="G255" s="2" t="s">
        <v>43</v>
      </c>
      <c r="H255">
        <v>149</v>
      </c>
      <c r="I255">
        <v>232</v>
      </c>
      <c r="J255">
        <f>Table1_1[[#This Row],[Seat_Capacity]]-Table1_1[[#This Row],[Passengers]]</f>
        <v>83</v>
      </c>
      <c r="K255">
        <v>64.22</v>
      </c>
      <c r="L255" t="str" cm="1">
        <f t="array" ref="L255">_xlfn.IFS(Table1_1[[#This Row],[Load_Factor_%]]&lt;60,"Low",Table1_1[[#This Row],[Load_Factor_%]]&lt;85,"Intermediate",Table1_1[[#This Row],[Load_Factor_%]]&gt;=85,"High")</f>
        <v>Intermediate</v>
      </c>
      <c r="M255" s="4">
        <v>1201663</v>
      </c>
      <c r="N255" s="4">
        <v>118440</v>
      </c>
      <c r="O255" s="4">
        <f>SUM(Table1_1[[#This Row],[Ticket_Revenue_INR]:[Cargo_Revenue_INR]])</f>
        <v>1320103</v>
      </c>
      <c r="P255" s="4">
        <v>666084</v>
      </c>
      <c r="Q255" s="4">
        <v>878629</v>
      </c>
      <c r="R255" s="4">
        <f>SUM(Table1_1[[#This Row],[Fuel_Cost_INR]:[Operating_Cost_INR]])</f>
        <v>1544713</v>
      </c>
      <c r="S255" s="4">
        <f>Table1_1[[#This Row],[Total_Revenue]]-Table1_1[[#This Row],[Total_Cost]]</f>
        <v>-224610</v>
      </c>
      <c r="T255" s="9">
        <f>(Table1_1[[#This Row],[Total_Profit]]/Table1_1[[#This Row],[Total_Revenue]])</f>
        <v>-0.17014581437963552</v>
      </c>
      <c r="U255" s="5">
        <v>88</v>
      </c>
      <c r="V255" s="6" t="s">
        <v>18</v>
      </c>
      <c r="W255" s="8">
        <v>3.3</v>
      </c>
      <c r="X255" t="str" cm="1">
        <f t="array" ref="X255">_xlfn.IFS(Table1_1[[#This Row],[Customer_Rating]]&lt;3,"Poor",Table1_1[[#This Row],[Customer_Rating]]&lt;4,"Good",Table1_1[[#This Row],[Customer_Rating]]&gt;=4,"Excellent")</f>
        <v>Good</v>
      </c>
    </row>
    <row r="256" spans="1:24" x14ac:dyDescent="0.35">
      <c r="A256" s="2" t="s">
        <v>471</v>
      </c>
      <c r="B256" s="3">
        <v>45904</v>
      </c>
      <c r="C256" s="3" t="str">
        <f>TEXT(Table1_1[[#This Row],[Date]],"YYYY")</f>
        <v>2025</v>
      </c>
      <c r="D256" s="3" t="str">
        <f>TEXT(Table1_1[[#This Row],[Date]],"mmm")</f>
        <v>Sep</v>
      </c>
      <c r="E256" s="2" t="s">
        <v>29</v>
      </c>
      <c r="F256" s="2" t="str">
        <f>INDEX(IndiGo_Flight_Data!$R$2:$R$11,MATCH(Table1_1[[#This Row],[Route]],_xlfn.ANCHORARRAY(IndiGo_Flight_Data!$Q$2),0))</f>
        <v>Calacatta - Delhi</v>
      </c>
      <c r="G256" s="2" t="s">
        <v>24</v>
      </c>
      <c r="H256">
        <v>159</v>
      </c>
      <c r="I256">
        <v>180</v>
      </c>
      <c r="J256">
        <f>Table1_1[[#This Row],[Seat_Capacity]]-Table1_1[[#This Row],[Passengers]]</f>
        <v>21</v>
      </c>
      <c r="K256">
        <v>88.33</v>
      </c>
      <c r="L256" t="str" cm="1">
        <f t="array" ref="L256">_xlfn.IFS(Table1_1[[#This Row],[Load_Factor_%]]&lt;60,"Low",Table1_1[[#This Row],[Load_Factor_%]]&lt;85,"Intermediate",Table1_1[[#This Row],[Load_Factor_%]]&gt;=85,"High")</f>
        <v>High</v>
      </c>
      <c r="M256" s="4">
        <v>1241756</v>
      </c>
      <c r="N256" s="4">
        <v>105745</v>
      </c>
      <c r="O256" s="4">
        <f>SUM(Table1_1[[#This Row],[Ticket_Revenue_INR]:[Cargo_Revenue_INR]])</f>
        <v>1347501</v>
      </c>
      <c r="P256" s="4">
        <v>813635</v>
      </c>
      <c r="Q256" s="4">
        <v>1049487</v>
      </c>
      <c r="R256" s="4">
        <f>SUM(Table1_1[[#This Row],[Fuel_Cost_INR]:[Operating_Cost_INR]])</f>
        <v>1863122</v>
      </c>
      <c r="S256" s="4">
        <f>Table1_1[[#This Row],[Total_Revenue]]-Table1_1[[#This Row],[Total_Cost]]</f>
        <v>-515621</v>
      </c>
      <c r="T256" s="9">
        <f>(Table1_1[[#This Row],[Total_Profit]]/Table1_1[[#This Row],[Total_Revenue]])</f>
        <v>-0.38264980879420496</v>
      </c>
      <c r="U256" s="5">
        <v>85</v>
      </c>
      <c r="V256" s="6" t="s">
        <v>18</v>
      </c>
      <c r="W256" s="8">
        <v>4.5</v>
      </c>
      <c r="X256" t="str" cm="1">
        <f t="array" ref="X256">_xlfn.IFS(Table1_1[[#This Row],[Customer_Rating]]&lt;3,"Poor",Table1_1[[#This Row],[Customer_Rating]]&lt;4,"Good",Table1_1[[#This Row],[Customer_Rating]]&gt;=4,"Excellent")</f>
        <v>Excellent</v>
      </c>
    </row>
    <row r="257" spans="1:24" x14ac:dyDescent="0.35">
      <c r="A257" s="2" t="s">
        <v>472</v>
      </c>
      <c r="B257" s="3">
        <v>45974</v>
      </c>
      <c r="C257" s="3" t="str">
        <f>TEXT(Table1_1[[#This Row],[Date]],"YYYY")</f>
        <v>2025</v>
      </c>
      <c r="D257" s="3" t="str">
        <f>TEXT(Table1_1[[#This Row],[Date]],"mmm")</f>
        <v>Nov</v>
      </c>
      <c r="E257" s="2" t="s">
        <v>39</v>
      </c>
      <c r="F257" s="2" t="str">
        <f>INDEX(IndiGo_Flight_Data!$R$2:$R$11,MATCH(Table1_1[[#This Row],[Route]],_xlfn.ANCHORARRAY(IndiGo_Flight_Data!$Q$2),0))</f>
        <v>Bengaluru - Delhi</v>
      </c>
      <c r="G257" s="2" t="s">
        <v>43</v>
      </c>
      <c r="H257">
        <v>221</v>
      </c>
      <c r="I257">
        <v>232</v>
      </c>
      <c r="J257">
        <f>Table1_1[[#This Row],[Seat_Capacity]]-Table1_1[[#This Row],[Passengers]]</f>
        <v>11</v>
      </c>
      <c r="K257">
        <v>95.26</v>
      </c>
      <c r="L257" t="str" cm="1">
        <f t="array" ref="L257">_xlfn.IFS(Table1_1[[#This Row],[Load_Factor_%]]&lt;60,"Low",Table1_1[[#This Row],[Load_Factor_%]]&lt;85,"Intermediate",Table1_1[[#This Row],[Load_Factor_%]]&gt;=85,"High")</f>
        <v>High</v>
      </c>
      <c r="M257" s="4">
        <v>1324525</v>
      </c>
      <c r="N257" s="4">
        <v>47232</v>
      </c>
      <c r="O257" s="4">
        <f>SUM(Table1_1[[#This Row],[Ticket_Revenue_INR]:[Cargo_Revenue_INR]])</f>
        <v>1371757</v>
      </c>
      <c r="P257" s="4">
        <v>1044060</v>
      </c>
      <c r="Q257" s="4">
        <v>1640058</v>
      </c>
      <c r="R257" s="4">
        <f>SUM(Table1_1[[#This Row],[Fuel_Cost_INR]:[Operating_Cost_INR]])</f>
        <v>2684118</v>
      </c>
      <c r="S257" s="4">
        <f>Table1_1[[#This Row],[Total_Revenue]]-Table1_1[[#This Row],[Total_Cost]]</f>
        <v>-1312361</v>
      </c>
      <c r="T257" s="9">
        <f>(Table1_1[[#This Row],[Total_Profit]]/Table1_1[[#This Row],[Total_Revenue]])</f>
        <v>-0.95670078592637031</v>
      </c>
      <c r="U257" s="5">
        <v>55</v>
      </c>
      <c r="V257" s="6" t="s">
        <v>18</v>
      </c>
      <c r="W257" s="8">
        <v>4</v>
      </c>
      <c r="X257" t="str" cm="1">
        <f t="array" ref="X257">_xlfn.IFS(Table1_1[[#This Row],[Customer_Rating]]&lt;3,"Poor",Table1_1[[#This Row],[Customer_Rating]]&lt;4,"Good",Table1_1[[#This Row],[Customer_Rating]]&gt;=4,"Excellent")</f>
        <v>Excellent</v>
      </c>
    </row>
    <row r="258" spans="1:24" x14ac:dyDescent="0.35">
      <c r="A258" s="2" t="s">
        <v>474</v>
      </c>
      <c r="B258" s="3">
        <v>45934</v>
      </c>
      <c r="C258" s="3" t="str">
        <f>TEXT(Table1_1[[#This Row],[Date]],"YYYY")</f>
        <v>2025</v>
      </c>
      <c r="D258" s="3" t="str">
        <f>TEXT(Table1_1[[#This Row],[Date]],"mmm")</f>
        <v>Oct</v>
      </c>
      <c r="E258" s="2" t="s">
        <v>42</v>
      </c>
      <c r="F258" s="2" t="str">
        <f>INDEX(IndiGo_Flight_Data!$R$2:$R$11,MATCH(Table1_1[[#This Row],[Route]],_xlfn.ANCHORARRAY(IndiGo_Flight_Data!$Q$2),0))</f>
        <v>Bombay - Hyderabad</v>
      </c>
      <c r="G258" s="2" t="s">
        <v>24</v>
      </c>
      <c r="H258">
        <v>116</v>
      </c>
      <c r="I258">
        <v>180</v>
      </c>
      <c r="J258">
        <f>Table1_1[[#This Row],[Seat_Capacity]]-Table1_1[[#This Row],[Passengers]]</f>
        <v>64</v>
      </c>
      <c r="K258">
        <v>64.44</v>
      </c>
      <c r="L258" t="str" cm="1">
        <f t="array" ref="L258">_xlfn.IFS(Table1_1[[#This Row],[Load_Factor_%]]&lt;60,"Low",Table1_1[[#This Row],[Load_Factor_%]]&lt;85,"Intermediate",Table1_1[[#This Row],[Load_Factor_%]]&gt;=85,"High")</f>
        <v>Intermediate</v>
      </c>
      <c r="M258" s="4">
        <v>804576</v>
      </c>
      <c r="N258" s="4">
        <v>77762</v>
      </c>
      <c r="O258" s="4">
        <f>SUM(Table1_1[[#This Row],[Ticket_Revenue_INR]:[Cargo_Revenue_INR]])</f>
        <v>882338</v>
      </c>
      <c r="P258" s="4">
        <v>288476</v>
      </c>
      <c r="Q258" s="4">
        <v>965776</v>
      </c>
      <c r="R258" s="4">
        <f>SUM(Table1_1[[#This Row],[Fuel_Cost_INR]:[Operating_Cost_INR]])</f>
        <v>1254252</v>
      </c>
      <c r="S258" s="4">
        <f>Table1_1[[#This Row],[Total_Revenue]]-Table1_1[[#This Row],[Total_Cost]]</f>
        <v>-371914</v>
      </c>
      <c r="T258" s="9">
        <f>(Table1_1[[#This Row],[Total_Profit]]/Table1_1[[#This Row],[Total_Revenue]])</f>
        <v>-0.42150967089709385</v>
      </c>
      <c r="U258" s="5">
        <v>7</v>
      </c>
      <c r="V258" s="6" t="s">
        <v>33</v>
      </c>
      <c r="W258" s="8">
        <v>3.5</v>
      </c>
      <c r="X258" t="str" cm="1">
        <f t="array" ref="X258">_xlfn.IFS(Table1_1[[#This Row],[Customer_Rating]]&lt;3,"Poor",Table1_1[[#This Row],[Customer_Rating]]&lt;4,"Good",Table1_1[[#This Row],[Customer_Rating]]&gt;=4,"Excellent")</f>
        <v>Good</v>
      </c>
    </row>
    <row r="259" spans="1:24" x14ac:dyDescent="0.35">
      <c r="A259" s="2" t="s">
        <v>476</v>
      </c>
      <c r="B259" s="3">
        <v>45804</v>
      </c>
      <c r="C259" s="3" t="str">
        <f>TEXT(Table1_1[[#This Row],[Date]],"YYYY")</f>
        <v>2025</v>
      </c>
      <c r="D259" s="3" t="str">
        <f>TEXT(Table1_1[[#This Row],[Date]],"mmm")</f>
        <v>May</v>
      </c>
      <c r="E259" s="2" t="s">
        <v>76</v>
      </c>
      <c r="F259" s="2" t="str">
        <f>INDEX(IndiGo_Flight_Data!$R$2:$R$11,MATCH(Table1_1[[#This Row],[Route]],_xlfn.ANCHORARRAY(IndiGo_Flight_Data!$Q$2),0))</f>
        <v>Madras - Delhi</v>
      </c>
      <c r="G259" s="2" t="s">
        <v>17</v>
      </c>
      <c r="H259">
        <v>47</v>
      </c>
      <c r="I259">
        <v>78</v>
      </c>
      <c r="J259">
        <f>Table1_1[[#This Row],[Seat_Capacity]]-Table1_1[[#This Row],[Passengers]]</f>
        <v>31</v>
      </c>
      <c r="K259">
        <v>60.26</v>
      </c>
      <c r="L259" t="str" cm="1">
        <f t="array" ref="L259">_xlfn.IFS(Table1_1[[#This Row],[Load_Factor_%]]&lt;60,"Low",Table1_1[[#This Row],[Load_Factor_%]]&lt;85,"Intermediate",Table1_1[[#This Row],[Load_Factor_%]]&gt;=85,"High")</f>
        <v>Intermediate</v>
      </c>
      <c r="M259" s="4">
        <v>311300</v>
      </c>
      <c r="N259" s="4">
        <v>61731</v>
      </c>
      <c r="O259" s="4">
        <f>SUM(Table1_1[[#This Row],[Ticket_Revenue_INR]:[Cargo_Revenue_INR]])</f>
        <v>373031</v>
      </c>
      <c r="P259" s="4">
        <v>843997</v>
      </c>
      <c r="Q259" s="4">
        <v>1291607</v>
      </c>
      <c r="R259" s="4">
        <f>SUM(Table1_1[[#This Row],[Fuel_Cost_INR]:[Operating_Cost_INR]])</f>
        <v>2135604</v>
      </c>
      <c r="S259" s="4">
        <f>Table1_1[[#This Row],[Total_Revenue]]-Table1_1[[#This Row],[Total_Cost]]</f>
        <v>-1762573</v>
      </c>
      <c r="T259" s="9">
        <f>(Table1_1[[#This Row],[Total_Profit]]/Table1_1[[#This Row],[Total_Revenue]])</f>
        <v>-4.7250040881320858</v>
      </c>
      <c r="U259" s="5">
        <v>69</v>
      </c>
      <c r="V259" s="6" t="s">
        <v>18</v>
      </c>
      <c r="W259" s="8">
        <v>4.5</v>
      </c>
      <c r="X259" t="str" cm="1">
        <f t="array" ref="X259">_xlfn.IFS(Table1_1[[#This Row],[Customer_Rating]]&lt;3,"Poor",Table1_1[[#This Row],[Customer_Rating]]&lt;4,"Good",Table1_1[[#This Row],[Customer_Rating]]&gt;=4,"Excellent")</f>
        <v>Excellent</v>
      </c>
    </row>
    <row r="260" spans="1:24" x14ac:dyDescent="0.35">
      <c r="A260" s="2" t="s">
        <v>477</v>
      </c>
      <c r="B260" s="3">
        <v>45866</v>
      </c>
      <c r="C260" s="3" t="str">
        <f>TEXT(Table1_1[[#This Row],[Date]],"YYYY")</f>
        <v>2025</v>
      </c>
      <c r="D260" s="3" t="str">
        <f>TEXT(Table1_1[[#This Row],[Date]],"mmm")</f>
        <v>Jul</v>
      </c>
      <c r="E260" s="2" t="s">
        <v>29</v>
      </c>
      <c r="F260" s="2" t="str">
        <f>INDEX(IndiGo_Flight_Data!$R$2:$R$11,MATCH(Table1_1[[#This Row],[Route]],_xlfn.ANCHORARRAY(IndiGo_Flight_Data!$Q$2),0))</f>
        <v>Calacatta - Delhi</v>
      </c>
      <c r="G260" s="2" t="s">
        <v>43</v>
      </c>
      <c r="H260">
        <v>173</v>
      </c>
      <c r="I260">
        <v>232</v>
      </c>
      <c r="J260">
        <f>Table1_1[[#This Row],[Seat_Capacity]]-Table1_1[[#This Row],[Passengers]]</f>
        <v>59</v>
      </c>
      <c r="K260">
        <v>74.569999999999993</v>
      </c>
      <c r="L260" t="str" cm="1">
        <f t="array" ref="L260">_xlfn.IFS(Table1_1[[#This Row],[Load_Factor_%]]&lt;60,"Low",Table1_1[[#This Row],[Load_Factor_%]]&lt;85,"Intermediate",Table1_1[[#This Row],[Load_Factor_%]]&gt;=85,"High")</f>
        <v>Intermediate</v>
      </c>
      <c r="M260" s="4">
        <v>1394145</v>
      </c>
      <c r="N260" s="4">
        <v>107770</v>
      </c>
      <c r="O260" s="4">
        <f>SUM(Table1_1[[#This Row],[Ticket_Revenue_INR]:[Cargo_Revenue_INR]])</f>
        <v>1501915</v>
      </c>
      <c r="P260" s="4">
        <v>551857</v>
      </c>
      <c r="Q260" s="4">
        <v>832083</v>
      </c>
      <c r="R260" s="4">
        <f>SUM(Table1_1[[#This Row],[Fuel_Cost_INR]:[Operating_Cost_INR]])</f>
        <v>1383940</v>
      </c>
      <c r="S260" s="4">
        <f>Table1_1[[#This Row],[Total_Revenue]]-Table1_1[[#This Row],[Total_Cost]]</f>
        <v>117975</v>
      </c>
      <c r="T260" s="9">
        <f>(Table1_1[[#This Row],[Total_Profit]]/Table1_1[[#This Row],[Total_Revenue]])</f>
        <v>7.8549718193106799E-2</v>
      </c>
      <c r="U260" s="5">
        <v>46</v>
      </c>
      <c r="V260" s="6" t="s">
        <v>18</v>
      </c>
      <c r="W260" s="8">
        <v>4.5</v>
      </c>
      <c r="X260" t="str" cm="1">
        <f t="array" ref="X260">_xlfn.IFS(Table1_1[[#This Row],[Customer_Rating]]&lt;3,"Poor",Table1_1[[#This Row],[Customer_Rating]]&lt;4,"Good",Table1_1[[#This Row],[Customer_Rating]]&gt;=4,"Excellent")</f>
        <v>Excellent</v>
      </c>
    </row>
    <row r="261" spans="1:24" x14ac:dyDescent="0.35">
      <c r="A261" s="2" t="s">
        <v>478</v>
      </c>
      <c r="B261" s="3">
        <v>45727</v>
      </c>
      <c r="C261" s="3" t="str">
        <f>TEXT(Table1_1[[#This Row],[Date]],"YYYY")</f>
        <v>2025</v>
      </c>
      <c r="D261" s="3" t="str">
        <f>TEXT(Table1_1[[#This Row],[Date]],"mmm")</f>
        <v>Mar</v>
      </c>
      <c r="E261" s="2" t="s">
        <v>42</v>
      </c>
      <c r="F261" s="2" t="str">
        <f>INDEX(IndiGo_Flight_Data!$R$2:$R$11,MATCH(Table1_1[[#This Row],[Route]],_xlfn.ANCHORARRAY(IndiGo_Flight_Data!$Q$2),0))</f>
        <v>Bombay - Hyderabad</v>
      </c>
      <c r="G261" s="2" t="s">
        <v>17</v>
      </c>
      <c r="H261">
        <v>69</v>
      </c>
      <c r="I261">
        <v>78</v>
      </c>
      <c r="J261">
        <f>Table1_1[[#This Row],[Seat_Capacity]]-Table1_1[[#This Row],[Passengers]]</f>
        <v>9</v>
      </c>
      <c r="K261">
        <v>88.46</v>
      </c>
      <c r="L261" t="str" cm="1">
        <f t="array" ref="L261">_xlfn.IFS(Table1_1[[#This Row],[Load_Factor_%]]&lt;60,"Low",Table1_1[[#This Row],[Load_Factor_%]]&lt;85,"Intermediate",Table1_1[[#This Row],[Load_Factor_%]]&gt;=85,"High")</f>
        <v>High</v>
      </c>
      <c r="M261" s="4">
        <v>505599</v>
      </c>
      <c r="N261" s="4">
        <v>137953</v>
      </c>
      <c r="O261" s="4">
        <f>SUM(Table1_1[[#This Row],[Ticket_Revenue_INR]:[Cargo_Revenue_INR]])</f>
        <v>643552</v>
      </c>
      <c r="P261" s="4">
        <v>327713</v>
      </c>
      <c r="Q261" s="4">
        <v>695011</v>
      </c>
      <c r="R261" s="4">
        <f>SUM(Table1_1[[#This Row],[Fuel_Cost_INR]:[Operating_Cost_INR]])</f>
        <v>1022724</v>
      </c>
      <c r="S261" s="4">
        <f>Table1_1[[#This Row],[Total_Revenue]]-Table1_1[[#This Row],[Total_Cost]]</f>
        <v>-379172</v>
      </c>
      <c r="T261" s="9">
        <f>(Table1_1[[#This Row],[Total_Profit]]/Table1_1[[#This Row],[Total_Revenue]])</f>
        <v>-0.58918626622246528</v>
      </c>
      <c r="U261" s="5">
        <v>58</v>
      </c>
      <c r="V261" s="6" t="s">
        <v>18</v>
      </c>
      <c r="W261" s="8">
        <v>3.3</v>
      </c>
      <c r="X261" t="str" cm="1">
        <f t="array" ref="X261">_xlfn.IFS(Table1_1[[#This Row],[Customer_Rating]]&lt;3,"Poor",Table1_1[[#This Row],[Customer_Rating]]&lt;4,"Good",Table1_1[[#This Row],[Customer_Rating]]&gt;=4,"Excellent")</f>
        <v>Good</v>
      </c>
    </row>
    <row r="262" spans="1:24" x14ac:dyDescent="0.35">
      <c r="A262" s="2" t="s">
        <v>479</v>
      </c>
      <c r="B262" s="3">
        <v>45929</v>
      </c>
      <c r="C262" s="3" t="str">
        <f>TEXT(Table1_1[[#This Row],[Date]],"YYYY")</f>
        <v>2025</v>
      </c>
      <c r="D262" s="3" t="str">
        <f>TEXT(Table1_1[[#This Row],[Date]],"mmm")</f>
        <v>Sep</v>
      </c>
      <c r="E262" s="2" t="s">
        <v>16</v>
      </c>
      <c r="F262" s="2" t="str">
        <f>INDEX(IndiGo_Flight_Data!$R$2:$R$11,MATCH(Table1_1[[#This Row],[Route]],_xlfn.ANCHORARRAY(IndiGo_Flight_Data!$Q$2),0))</f>
        <v>Delhi - Goa</v>
      </c>
      <c r="G262" s="2" t="s">
        <v>17</v>
      </c>
      <c r="H262">
        <v>76</v>
      </c>
      <c r="I262">
        <v>78</v>
      </c>
      <c r="J262">
        <f>Table1_1[[#This Row],[Seat_Capacity]]-Table1_1[[#This Row],[Passengers]]</f>
        <v>2</v>
      </c>
      <c r="K262">
        <v>97.44</v>
      </c>
      <c r="L262" t="str" cm="1">
        <f t="array" ref="L262">_xlfn.IFS(Table1_1[[#This Row],[Load_Factor_%]]&lt;60,"Low",Table1_1[[#This Row],[Load_Factor_%]]&lt;85,"Intermediate",Table1_1[[#This Row],[Load_Factor_%]]&gt;=85,"High")</f>
        <v>High</v>
      </c>
      <c r="M262" s="4">
        <v>349472</v>
      </c>
      <c r="N262" s="4">
        <v>25879</v>
      </c>
      <c r="O262" s="4">
        <f>SUM(Table1_1[[#This Row],[Ticket_Revenue_INR]:[Cargo_Revenue_INR]])</f>
        <v>375351</v>
      </c>
      <c r="P262" s="4">
        <v>915770</v>
      </c>
      <c r="Q262" s="4">
        <v>1533156</v>
      </c>
      <c r="R262" s="4">
        <f>SUM(Table1_1[[#This Row],[Fuel_Cost_INR]:[Operating_Cost_INR]])</f>
        <v>2448926</v>
      </c>
      <c r="S262" s="4">
        <f>Table1_1[[#This Row],[Total_Revenue]]-Table1_1[[#This Row],[Total_Cost]]</f>
        <v>-2073575</v>
      </c>
      <c r="T262" s="9">
        <f>(Table1_1[[#This Row],[Total_Profit]]/Table1_1[[#This Row],[Total_Revenue]])</f>
        <v>-5.5243625300052486</v>
      </c>
      <c r="U262" s="5">
        <v>67</v>
      </c>
      <c r="V262" s="6" t="s">
        <v>18</v>
      </c>
      <c r="W262" s="8">
        <v>3.7</v>
      </c>
      <c r="X262" t="str" cm="1">
        <f t="array" ref="X262">_xlfn.IFS(Table1_1[[#This Row],[Customer_Rating]]&lt;3,"Poor",Table1_1[[#This Row],[Customer_Rating]]&lt;4,"Good",Table1_1[[#This Row],[Customer_Rating]]&gt;=4,"Excellent")</f>
        <v>Good</v>
      </c>
    </row>
    <row r="263" spans="1:24" x14ac:dyDescent="0.35">
      <c r="A263" s="2" t="s">
        <v>480</v>
      </c>
      <c r="B263" s="3">
        <v>45871</v>
      </c>
      <c r="C263" s="3" t="str">
        <f>TEXT(Table1_1[[#This Row],[Date]],"YYYY")</f>
        <v>2025</v>
      </c>
      <c r="D263" s="3" t="str">
        <f>TEXT(Table1_1[[#This Row],[Date]],"mmm")</f>
        <v>Aug</v>
      </c>
      <c r="E263" s="2" t="s">
        <v>117</v>
      </c>
      <c r="F263" s="2" t="str">
        <f>INDEX(IndiGo_Flight_Data!$R$2:$R$11,MATCH(Table1_1[[#This Row],[Route]],_xlfn.ANCHORARRAY(IndiGo_Flight_Data!$Q$2),0))</f>
        <v>Bengaluru - Calacatta</v>
      </c>
      <c r="G263" s="2" t="s">
        <v>43</v>
      </c>
      <c r="H263">
        <v>142</v>
      </c>
      <c r="I263">
        <v>232</v>
      </c>
      <c r="J263">
        <f>Table1_1[[#This Row],[Seat_Capacity]]-Table1_1[[#This Row],[Passengers]]</f>
        <v>90</v>
      </c>
      <c r="K263">
        <v>61.21</v>
      </c>
      <c r="L263" t="str" cm="1">
        <f t="array" ref="L263">_xlfn.IFS(Table1_1[[#This Row],[Load_Factor_%]]&lt;60,"Low",Table1_1[[#This Row],[Load_Factor_%]]&lt;85,"Intermediate",Table1_1[[#This Row],[Load_Factor_%]]&gt;=85,"High")</f>
        <v>Intermediate</v>
      </c>
      <c r="M263" s="4">
        <v>1259055</v>
      </c>
      <c r="N263" s="4">
        <v>40817</v>
      </c>
      <c r="O263" s="4">
        <f>SUM(Table1_1[[#This Row],[Ticket_Revenue_INR]:[Cargo_Revenue_INR]])</f>
        <v>1299872</v>
      </c>
      <c r="P263" s="4">
        <v>824078</v>
      </c>
      <c r="Q263" s="4">
        <v>926613</v>
      </c>
      <c r="R263" s="4">
        <f>SUM(Table1_1[[#This Row],[Fuel_Cost_INR]:[Operating_Cost_INR]])</f>
        <v>1750691</v>
      </c>
      <c r="S263" s="4">
        <f>Table1_1[[#This Row],[Total_Revenue]]-Table1_1[[#This Row],[Total_Cost]]</f>
        <v>-450819</v>
      </c>
      <c r="T263" s="9">
        <f>(Table1_1[[#This Row],[Total_Profit]]/Table1_1[[#This Row],[Total_Revenue]])</f>
        <v>-0.34681799438713967</v>
      </c>
      <c r="U263" s="5">
        <v>17</v>
      </c>
      <c r="V263" s="6" t="s">
        <v>18</v>
      </c>
      <c r="W263" s="8">
        <v>3.3</v>
      </c>
      <c r="X263" t="str" cm="1">
        <f t="array" ref="X263">_xlfn.IFS(Table1_1[[#This Row],[Customer_Rating]]&lt;3,"Poor",Table1_1[[#This Row],[Customer_Rating]]&lt;4,"Good",Table1_1[[#This Row],[Customer_Rating]]&gt;=4,"Excellent")</f>
        <v>Good</v>
      </c>
    </row>
    <row r="264" spans="1:24" x14ac:dyDescent="0.35">
      <c r="A264" s="2" t="s">
        <v>481</v>
      </c>
      <c r="B264" s="3">
        <v>45828</v>
      </c>
      <c r="C264" s="3" t="str">
        <f>TEXT(Table1_1[[#This Row],[Date]],"YYYY")</f>
        <v>2025</v>
      </c>
      <c r="D264" s="3" t="str">
        <f>TEXT(Table1_1[[#This Row],[Date]],"mmm")</f>
        <v>Jun</v>
      </c>
      <c r="E264" s="2" t="s">
        <v>59</v>
      </c>
      <c r="F264" s="2" t="str">
        <f>INDEX(IndiGo_Flight_Data!$R$2:$R$11,MATCH(Table1_1[[#This Row],[Route]],_xlfn.ANCHORARRAY(IndiGo_Flight_Data!$Q$2),0))</f>
        <v>Bengaluru - Bombay</v>
      </c>
      <c r="G264" s="2" t="s">
        <v>17</v>
      </c>
      <c r="H264">
        <v>58</v>
      </c>
      <c r="I264">
        <v>78</v>
      </c>
      <c r="J264">
        <f>Table1_1[[#This Row],[Seat_Capacity]]-Table1_1[[#This Row],[Passengers]]</f>
        <v>20</v>
      </c>
      <c r="K264">
        <v>74.36</v>
      </c>
      <c r="L264" t="str" cm="1">
        <f t="array" ref="L264">_xlfn.IFS(Table1_1[[#This Row],[Load_Factor_%]]&lt;60,"Low",Table1_1[[#This Row],[Load_Factor_%]]&lt;85,"Intermediate",Table1_1[[#This Row],[Load_Factor_%]]&gt;=85,"High")</f>
        <v>Intermediate</v>
      </c>
      <c r="M264" s="4">
        <v>332816</v>
      </c>
      <c r="N264" s="4">
        <v>16309</v>
      </c>
      <c r="O264" s="4">
        <f>SUM(Table1_1[[#This Row],[Ticket_Revenue_INR]:[Cargo_Revenue_INR]])</f>
        <v>349125</v>
      </c>
      <c r="P264" s="4">
        <v>603828</v>
      </c>
      <c r="Q264" s="4">
        <v>1131237</v>
      </c>
      <c r="R264" s="4">
        <f>SUM(Table1_1[[#This Row],[Fuel_Cost_INR]:[Operating_Cost_INR]])</f>
        <v>1735065</v>
      </c>
      <c r="S264" s="4">
        <f>Table1_1[[#This Row],[Total_Revenue]]-Table1_1[[#This Row],[Total_Cost]]</f>
        <v>-1385940</v>
      </c>
      <c r="T264" s="9">
        <f>(Table1_1[[#This Row],[Total_Profit]]/Table1_1[[#This Row],[Total_Revenue]])</f>
        <v>-3.9697529538131042</v>
      </c>
      <c r="U264" s="5">
        <v>84</v>
      </c>
      <c r="V264" s="6" t="s">
        <v>18</v>
      </c>
      <c r="W264" s="8">
        <v>3.5</v>
      </c>
      <c r="X264" t="str" cm="1">
        <f t="array" ref="X264">_xlfn.IFS(Table1_1[[#This Row],[Customer_Rating]]&lt;3,"Poor",Table1_1[[#This Row],[Customer_Rating]]&lt;4,"Good",Table1_1[[#This Row],[Customer_Rating]]&gt;=4,"Excellent")</f>
        <v>Good</v>
      </c>
    </row>
    <row r="265" spans="1:24" x14ac:dyDescent="0.35">
      <c r="A265" s="2" t="s">
        <v>482</v>
      </c>
      <c r="B265" s="3">
        <v>45899</v>
      </c>
      <c r="C265" s="3" t="str">
        <f>TEXT(Table1_1[[#This Row],[Date]],"YYYY")</f>
        <v>2025</v>
      </c>
      <c r="D265" s="3" t="str">
        <f>TEXT(Table1_1[[#This Row],[Date]],"mmm")</f>
        <v>Aug</v>
      </c>
      <c r="E265" s="2" t="s">
        <v>59</v>
      </c>
      <c r="F265" s="2" t="str">
        <f>INDEX(IndiGo_Flight_Data!$R$2:$R$11,MATCH(Table1_1[[#This Row],[Route]],_xlfn.ANCHORARRAY(IndiGo_Flight_Data!$Q$2),0))</f>
        <v>Bengaluru - Bombay</v>
      </c>
      <c r="G265" s="2" t="s">
        <v>17</v>
      </c>
      <c r="H265">
        <v>70</v>
      </c>
      <c r="I265">
        <v>78</v>
      </c>
      <c r="J265">
        <f>Table1_1[[#This Row],[Seat_Capacity]]-Table1_1[[#This Row],[Passengers]]</f>
        <v>8</v>
      </c>
      <c r="K265">
        <v>89.74</v>
      </c>
      <c r="L265" t="str" cm="1">
        <f t="array" ref="L265">_xlfn.IFS(Table1_1[[#This Row],[Load_Factor_%]]&lt;60,"Low",Table1_1[[#This Row],[Load_Factor_%]]&lt;85,"Intermediate",Table1_1[[#This Row],[Load_Factor_%]]&gt;=85,"High")</f>
        <v>High</v>
      </c>
      <c r="M265" s="4">
        <v>628029</v>
      </c>
      <c r="N265" s="4">
        <v>94779</v>
      </c>
      <c r="O265" s="4">
        <f>SUM(Table1_1[[#This Row],[Ticket_Revenue_INR]:[Cargo_Revenue_INR]])</f>
        <v>722808</v>
      </c>
      <c r="P265" s="4">
        <v>463260</v>
      </c>
      <c r="Q265" s="4">
        <v>1115340</v>
      </c>
      <c r="R265" s="4">
        <f>SUM(Table1_1[[#This Row],[Fuel_Cost_INR]:[Operating_Cost_INR]])</f>
        <v>1578600</v>
      </c>
      <c r="S265" s="4">
        <f>Table1_1[[#This Row],[Total_Revenue]]-Table1_1[[#This Row],[Total_Cost]]</f>
        <v>-855792</v>
      </c>
      <c r="T265" s="9">
        <f>(Table1_1[[#This Row],[Total_Profit]]/Table1_1[[#This Row],[Total_Revenue]])</f>
        <v>-1.183982468373344</v>
      </c>
      <c r="U265" s="5">
        <v>89</v>
      </c>
      <c r="V265" s="6" t="s">
        <v>18</v>
      </c>
      <c r="W265" s="8">
        <v>4.3</v>
      </c>
      <c r="X265" t="str" cm="1">
        <f t="array" ref="X265">_xlfn.IFS(Table1_1[[#This Row],[Customer_Rating]]&lt;3,"Poor",Table1_1[[#This Row],[Customer_Rating]]&lt;4,"Good",Table1_1[[#This Row],[Customer_Rating]]&gt;=4,"Excellent")</f>
        <v>Excellent</v>
      </c>
    </row>
    <row r="266" spans="1:24" x14ac:dyDescent="0.35">
      <c r="A266" s="2" t="s">
        <v>483</v>
      </c>
      <c r="B266" s="3">
        <v>45786</v>
      </c>
      <c r="C266" s="3" t="str">
        <f>TEXT(Table1_1[[#This Row],[Date]],"YYYY")</f>
        <v>2025</v>
      </c>
      <c r="D266" s="3" t="str">
        <f>TEXT(Table1_1[[#This Row],[Date]],"mmm")</f>
        <v>May</v>
      </c>
      <c r="E266" s="2" t="s">
        <v>36</v>
      </c>
      <c r="F266" s="2" t="str">
        <f>INDEX(IndiGo_Flight_Data!$R$2:$R$11,MATCH(Table1_1[[#This Row],[Route]],_xlfn.ANCHORARRAY(IndiGo_Flight_Data!$Q$2),0))</f>
        <v>Delhi - Bombay</v>
      </c>
      <c r="G266" s="2" t="s">
        <v>43</v>
      </c>
      <c r="H266">
        <v>182</v>
      </c>
      <c r="I266">
        <v>232</v>
      </c>
      <c r="J266">
        <f>Table1_1[[#This Row],[Seat_Capacity]]-Table1_1[[#This Row],[Passengers]]</f>
        <v>50</v>
      </c>
      <c r="K266">
        <v>78.45</v>
      </c>
      <c r="L266" t="str" cm="1">
        <f t="array" ref="L266">_xlfn.IFS(Table1_1[[#This Row],[Load_Factor_%]]&lt;60,"Low",Table1_1[[#This Row],[Load_Factor_%]]&lt;85,"Intermediate",Table1_1[[#This Row],[Load_Factor_%]]&gt;=85,"High")</f>
        <v>Intermediate</v>
      </c>
      <c r="M266" s="4">
        <v>1178080</v>
      </c>
      <c r="N266" s="4">
        <v>147752</v>
      </c>
      <c r="O266" s="4">
        <f>SUM(Table1_1[[#This Row],[Ticket_Revenue_INR]:[Cargo_Revenue_INR]])</f>
        <v>1325832</v>
      </c>
      <c r="P266" s="4">
        <v>1187805</v>
      </c>
      <c r="Q266" s="4">
        <v>1559283</v>
      </c>
      <c r="R266" s="4">
        <f>SUM(Table1_1[[#This Row],[Fuel_Cost_INR]:[Operating_Cost_INR]])</f>
        <v>2747088</v>
      </c>
      <c r="S266" s="4">
        <f>Table1_1[[#This Row],[Total_Revenue]]-Table1_1[[#This Row],[Total_Cost]]</f>
        <v>-1421256</v>
      </c>
      <c r="T266" s="9">
        <f>(Table1_1[[#This Row],[Total_Profit]]/Table1_1[[#This Row],[Total_Revenue]])</f>
        <v>-1.071972919645928</v>
      </c>
      <c r="U266" s="5">
        <v>29</v>
      </c>
      <c r="V266" s="6" t="s">
        <v>18</v>
      </c>
      <c r="W266" s="8">
        <v>3.7</v>
      </c>
      <c r="X266" t="str" cm="1">
        <f t="array" ref="X266">_xlfn.IFS(Table1_1[[#This Row],[Customer_Rating]]&lt;3,"Poor",Table1_1[[#This Row],[Customer_Rating]]&lt;4,"Good",Table1_1[[#This Row],[Customer_Rating]]&gt;=4,"Excellent")</f>
        <v>Good</v>
      </c>
    </row>
    <row r="267" spans="1:24" x14ac:dyDescent="0.35">
      <c r="A267" s="2" t="s">
        <v>484</v>
      </c>
      <c r="B267" s="3">
        <v>45771</v>
      </c>
      <c r="C267" s="3" t="str">
        <f>TEXT(Table1_1[[#This Row],[Date]],"YYYY")</f>
        <v>2025</v>
      </c>
      <c r="D267" s="3" t="str">
        <f>TEXT(Table1_1[[#This Row],[Date]],"mmm")</f>
        <v>Apr</v>
      </c>
      <c r="E267" s="2" t="s">
        <v>16</v>
      </c>
      <c r="F267" s="2" t="str">
        <f>INDEX(IndiGo_Flight_Data!$R$2:$R$11,MATCH(Table1_1[[#This Row],[Route]],_xlfn.ANCHORARRAY(IndiGo_Flight_Data!$Q$2),0))</f>
        <v>Delhi - Goa</v>
      </c>
      <c r="G267" s="2" t="s">
        <v>43</v>
      </c>
      <c r="H267">
        <v>151</v>
      </c>
      <c r="I267">
        <v>232</v>
      </c>
      <c r="J267">
        <f>Table1_1[[#This Row],[Seat_Capacity]]-Table1_1[[#This Row],[Passengers]]</f>
        <v>81</v>
      </c>
      <c r="K267">
        <v>65.09</v>
      </c>
      <c r="L267" t="str" cm="1">
        <f t="array" ref="L267">_xlfn.IFS(Table1_1[[#This Row],[Load_Factor_%]]&lt;60,"Low",Table1_1[[#This Row],[Load_Factor_%]]&lt;85,"Intermediate",Table1_1[[#This Row],[Load_Factor_%]]&gt;=85,"High")</f>
        <v>Intermediate</v>
      </c>
      <c r="M267" s="4">
        <v>1268041</v>
      </c>
      <c r="N267" s="4">
        <v>51866</v>
      </c>
      <c r="O267" s="4">
        <f>SUM(Table1_1[[#This Row],[Ticket_Revenue_INR]:[Cargo_Revenue_INR]])</f>
        <v>1319907</v>
      </c>
      <c r="P267" s="4">
        <v>874616</v>
      </c>
      <c r="Q267" s="4">
        <v>1390461</v>
      </c>
      <c r="R267" s="4">
        <f>SUM(Table1_1[[#This Row],[Fuel_Cost_INR]:[Operating_Cost_INR]])</f>
        <v>2265077</v>
      </c>
      <c r="S267" s="4">
        <f>Table1_1[[#This Row],[Total_Revenue]]-Table1_1[[#This Row],[Total_Cost]]</f>
        <v>-945170</v>
      </c>
      <c r="T267" s="9">
        <f>(Table1_1[[#This Row],[Total_Profit]]/Table1_1[[#This Row],[Total_Revenue]])</f>
        <v>-0.71608833046570708</v>
      </c>
      <c r="U267" s="5">
        <v>85</v>
      </c>
      <c r="V267" s="6" t="s">
        <v>18</v>
      </c>
      <c r="W267" s="8">
        <v>4.5</v>
      </c>
      <c r="X267" t="str" cm="1">
        <f t="array" ref="X267">_xlfn.IFS(Table1_1[[#This Row],[Customer_Rating]]&lt;3,"Poor",Table1_1[[#This Row],[Customer_Rating]]&lt;4,"Good",Table1_1[[#This Row],[Customer_Rating]]&gt;=4,"Excellent")</f>
        <v>Excellent</v>
      </c>
    </row>
    <row r="268" spans="1:24" x14ac:dyDescent="0.35">
      <c r="A268" s="2" t="s">
        <v>486</v>
      </c>
      <c r="B268" s="3">
        <v>45679</v>
      </c>
      <c r="C268" s="3" t="str">
        <f>TEXT(Table1_1[[#This Row],[Date]],"YYYY")</f>
        <v>2025</v>
      </c>
      <c r="D268" s="3" t="str">
        <f>TEXT(Table1_1[[#This Row],[Date]],"mmm")</f>
        <v>Jan</v>
      </c>
      <c r="E268" s="2" t="s">
        <v>39</v>
      </c>
      <c r="F268" s="2" t="str">
        <f>INDEX(IndiGo_Flight_Data!$R$2:$R$11,MATCH(Table1_1[[#This Row],[Route]],_xlfn.ANCHORARRAY(IndiGo_Flight_Data!$Q$2),0))</f>
        <v>Bengaluru - Delhi</v>
      </c>
      <c r="G268" s="2" t="s">
        <v>43</v>
      </c>
      <c r="H268">
        <v>167</v>
      </c>
      <c r="I268">
        <v>232</v>
      </c>
      <c r="J268">
        <f>Table1_1[[#This Row],[Seat_Capacity]]-Table1_1[[#This Row],[Passengers]]</f>
        <v>65</v>
      </c>
      <c r="K268">
        <v>71.98</v>
      </c>
      <c r="L268" t="str" cm="1">
        <f t="array" ref="L268">_xlfn.IFS(Table1_1[[#This Row],[Load_Factor_%]]&lt;60,"Low",Table1_1[[#This Row],[Load_Factor_%]]&lt;85,"Intermediate",Table1_1[[#This Row],[Load_Factor_%]]&gt;=85,"High")</f>
        <v>Intermediate</v>
      </c>
      <c r="M268" s="4">
        <v>1197189</v>
      </c>
      <c r="N268" s="4">
        <v>38876</v>
      </c>
      <c r="O268" s="4">
        <f>SUM(Table1_1[[#This Row],[Ticket_Revenue_INR]:[Cargo_Revenue_INR]])</f>
        <v>1236065</v>
      </c>
      <c r="P268" s="4">
        <v>417509</v>
      </c>
      <c r="Q268" s="4">
        <v>840536</v>
      </c>
      <c r="R268" s="4">
        <f>SUM(Table1_1[[#This Row],[Fuel_Cost_INR]:[Operating_Cost_INR]])</f>
        <v>1258045</v>
      </c>
      <c r="S268" s="4">
        <f>Table1_1[[#This Row],[Total_Revenue]]-Table1_1[[#This Row],[Total_Cost]]</f>
        <v>-21980</v>
      </c>
      <c r="T268" s="9">
        <f>(Table1_1[[#This Row],[Total_Profit]]/Table1_1[[#This Row],[Total_Revenue]])</f>
        <v>-1.7782236371064627E-2</v>
      </c>
      <c r="U268" s="5">
        <v>43</v>
      </c>
      <c r="V268" s="6" t="s">
        <v>18</v>
      </c>
      <c r="W268" s="8">
        <v>3.5</v>
      </c>
      <c r="X268" t="str" cm="1">
        <f t="array" ref="X268">_xlfn.IFS(Table1_1[[#This Row],[Customer_Rating]]&lt;3,"Poor",Table1_1[[#This Row],[Customer_Rating]]&lt;4,"Good",Table1_1[[#This Row],[Customer_Rating]]&gt;=4,"Excellent")</f>
        <v>Good</v>
      </c>
    </row>
    <row r="269" spans="1:24" x14ac:dyDescent="0.35">
      <c r="A269" s="2" t="s">
        <v>488</v>
      </c>
      <c r="B269" s="3">
        <v>45682</v>
      </c>
      <c r="C269" s="3" t="str">
        <f>TEXT(Table1_1[[#This Row],[Date]],"YYYY")</f>
        <v>2025</v>
      </c>
      <c r="D269" s="3" t="str">
        <f>TEXT(Table1_1[[#This Row],[Date]],"mmm")</f>
        <v>Jan</v>
      </c>
      <c r="E269" s="2" t="s">
        <v>59</v>
      </c>
      <c r="F269" s="2" t="str">
        <f>INDEX(IndiGo_Flight_Data!$R$2:$R$11,MATCH(Table1_1[[#This Row],[Route]],_xlfn.ANCHORARRAY(IndiGo_Flight_Data!$Q$2),0))</f>
        <v>Bengaluru - Bombay</v>
      </c>
      <c r="G269" s="2" t="s">
        <v>17</v>
      </c>
      <c r="H269">
        <v>67</v>
      </c>
      <c r="I269">
        <v>78</v>
      </c>
      <c r="J269">
        <f>Table1_1[[#This Row],[Seat_Capacity]]-Table1_1[[#This Row],[Passengers]]</f>
        <v>11</v>
      </c>
      <c r="K269">
        <v>85.9</v>
      </c>
      <c r="L269" t="str" cm="1">
        <f t="array" ref="L269">_xlfn.IFS(Table1_1[[#This Row],[Load_Factor_%]]&lt;60,"Low",Table1_1[[#This Row],[Load_Factor_%]]&lt;85,"Intermediate",Table1_1[[#This Row],[Load_Factor_%]]&gt;=85,"High")</f>
        <v>High</v>
      </c>
      <c r="M269" s="4">
        <v>240651</v>
      </c>
      <c r="N269" s="4">
        <v>144865</v>
      </c>
      <c r="O269" s="4">
        <f>SUM(Table1_1[[#This Row],[Ticket_Revenue_INR]:[Cargo_Revenue_INR]])</f>
        <v>385516</v>
      </c>
      <c r="P269" s="4">
        <v>671914</v>
      </c>
      <c r="Q269" s="4">
        <v>839483</v>
      </c>
      <c r="R269" s="4">
        <f>SUM(Table1_1[[#This Row],[Fuel_Cost_INR]:[Operating_Cost_INR]])</f>
        <v>1511397</v>
      </c>
      <c r="S269" s="4">
        <f>Table1_1[[#This Row],[Total_Revenue]]-Table1_1[[#This Row],[Total_Cost]]</f>
        <v>-1125881</v>
      </c>
      <c r="T269" s="9">
        <f>(Table1_1[[#This Row],[Total_Profit]]/Table1_1[[#This Row],[Total_Revenue]])</f>
        <v>-2.9204520694342126</v>
      </c>
      <c r="U269" s="5">
        <v>66</v>
      </c>
      <c r="V269" s="6" t="s">
        <v>18</v>
      </c>
      <c r="W269" s="8">
        <v>3.5</v>
      </c>
      <c r="X269" t="str" cm="1">
        <f t="array" ref="X269">_xlfn.IFS(Table1_1[[#This Row],[Customer_Rating]]&lt;3,"Poor",Table1_1[[#This Row],[Customer_Rating]]&lt;4,"Good",Table1_1[[#This Row],[Customer_Rating]]&gt;=4,"Excellent")</f>
        <v>Good</v>
      </c>
    </row>
    <row r="270" spans="1:24" x14ac:dyDescent="0.35">
      <c r="A270" s="2" t="s">
        <v>490</v>
      </c>
      <c r="B270" s="3">
        <v>45851</v>
      </c>
      <c r="C270" s="3" t="str">
        <f>TEXT(Table1_1[[#This Row],[Date]],"YYYY")</f>
        <v>2025</v>
      </c>
      <c r="D270" s="3" t="str">
        <f>TEXT(Table1_1[[#This Row],[Date]],"mmm")</f>
        <v>Jul</v>
      </c>
      <c r="E270" s="2" t="s">
        <v>76</v>
      </c>
      <c r="F270" s="2" t="str">
        <f>INDEX(IndiGo_Flight_Data!$R$2:$R$11,MATCH(Table1_1[[#This Row],[Route]],_xlfn.ANCHORARRAY(IndiGo_Flight_Data!$Q$2),0))</f>
        <v>Madras - Delhi</v>
      </c>
      <c r="G270" s="2" t="s">
        <v>43</v>
      </c>
      <c r="H270">
        <v>163</v>
      </c>
      <c r="I270">
        <v>232</v>
      </c>
      <c r="J270">
        <f>Table1_1[[#This Row],[Seat_Capacity]]-Table1_1[[#This Row],[Passengers]]</f>
        <v>69</v>
      </c>
      <c r="K270">
        <v>70.260000000000005</v>
      </c>
      <c r="L270" t="str" cm="1">
        <f t="array" ref="L270">_xlfn.IFS(Table1_1[[#This Row],[Load_Factor_%]]&lt;60,"Low",Table1_1[[#This Row],[Load_Factor_%]]&lt;85,"Intermediate",Table1_1[[#This Row],[Load_Factor_%]]&gt;=85,"High")</f>
        <v>Intermediate</v>
      </c>
      <c r="M270" s="4">
        <v>733071</v>
      </c>
      <c r="N270" s="4">
        <v>112380</v>
      </c>
      <c r="O270" s="4">
        <f>SUM(Table1_1[[#This Row],[Ticket_Revenue_INR]:[Cargo_Revenue_INR]])</f>
        <v>845451</v>
      </c>
      <c r="P270" s="4">
        <v>642384</v>
      </c>
      <c r="Q270" s="4">
        <v>933289</v>
      </c>
      <c r="R270" s="4">
        <f>SUM(Table1_1[[#This Row],[Fuel_Cost_INR]:[Operating_Cost_INR]])</f>
        <v>1575673</v>
      </c>
      <c r="S270" s="4">
        <f>Table1_1[[#This Row],[Total_Revenue]]-Table1_1[[#This Row],[Total_Cost]]</f>
        <v>-730222</v>
      </c>
      <c r="T270" s="9">
        <f>(Table1_1[[#This Row],[Total_Profit]]/Table1_1[[#This Row],[Total_Revenue]])</f>
        <v>-0.86370706285757537</v>
      </c>
      <c r="U270" s="5">
        <v>66</v>
      </c>
      <c r="V270" s="6" t="s">
        <v>18</v>
      </c>
      <c r="W270" s="8">
        <v>4</v>
      </c>
      <c r="X270" t="str" cm="1">
        <f t="array" ref="X270">_xlfn.IFS(Table1_1[[#This Row],[Customer_Rating]]&lt;3,"Poor",Table1_1[[#This Row],[Customer_Rating]]&lt;4,"Good",Table1_1[[#This Row],[Customer_Rating]]&gt;=4,"Excellent")</f>
        <v>Excellent</v>
      </c>
    </row>
    <row r="271" spans="1:24" x14ac:dyDescent="0.35">
      <c r="A271" s="2" t="s">
        <v>491</v>
      </c>
      <c r="B271" s="3">
        <v>45784</v>
      </c>
      <c r="C271" s="3" t="str">
        <f>TEXT(Table1_1[[#This Row],[Date]],"YYYY")</f>
        <v>2025</v>
      </c>
      <c r="D271" s="3" t="str">
        <f>TEXT(Table1_1[[#This Row],[Date]],"mmm")</f>
        <v>May</v>
      </c>
      <c r="E271" s="2" t="s">
        <v>59</v>
      </c>
      <c r="F271" s="2" t="str">
        <f>INDEX(IndiGo_Flight_Data!$R$2:$R$11,MATCH(Table1_1[[#This Row],[Route]],_xlfn.ANCHORARRAY(IndiGo_Flight_Data!$Q$2),0))</f>
        <v>Bengaluru - Bombay</v>
      </c>
      <c r="G271" s="2" t="s">
        <v>24</v>
      </c>
      <c r="H271">
        <v>156</v>
      </c>
      <c r="I271">
        <v>180</v>
      </c>
      <c r="J271">
        <f>Table1_1[[#This Row],[Seat_Capacity]]-Table1_1[[#This Row],[Passengers]]</f>
        <v>24</v>
      </c>
      <c r="K271">
        <v>86.67</v>
      </c>
      <c r="L271" t="str" cm="1">
        <f t="array" ref="L271">_xlfn.IFS(Table1_1[[#This Row],[Load_Factor_%]]&lt;60,"Low",Table1_1[[#This Row],[Load_Factor_%]]&lt;85,"Intermediate",Table1_1[[#This Row],[Load_Factor_%]]&gt;=85,"High")</f>
        <v>High</v>
      </c>
      <c r="M271" s="4">
        <v>975709</v>
      </c>
      <c r="N271" s="4">
        <v>54438</v>
      </c>
      <c r="O271" s="4">
        <f>SUM(Table1_1[[#This Row],[Ticket_Revenue_INR]:[Cargo_Revenue_INR]])</f>
        <v>1030147</v>
      </c>
      <c r="P271" s="4">
        <v>1080782</v>
      </c>
      <c r="Q271" s="4">
        <v>1646677</v>
      </c>
      <c r="R271" s="4">
        <f>SUM(Table1_1[[#This Row],[Fuel_Cost_INR]:[Operating_Cost_INR]])</f>
        <v>2727459</v>
      </c>
      <c r="S271" s="4">
        <f>Table1_1[[#This Row],[Total_Revenue]]-Table1_1[[#This Row],[Total_Cost]]</f>
        <v>-1697312</v>
      </c>
      <c r="T271" s="9">
        <f>(Table1_1[[#This Row],[Total_Profit]]/Table1_1[[#This Row],[Total_Revenue]])</f>
        <v>-1.6476405794512823</v>
      </c>
      <c r="U271" s="5">
        <v>4</v>
      </c>
      <c r="V271" s="6" t="s">
        <v>33</v>
      </c>
      <c r="W271" s="8">
        <v>3.9</v>
      </c>
      <c r="X271" t="str" cm="1">
        <f t="array" ref="X271">_xlfn.IFS(Table1_1[[#This Row],[Customer_Rating]]&lt;3,"Poor",Table1_1[[#This Row],[Customer_Rating]]&lt;4,"Good",Table1_1[[#This Row],[Customer_Rating]]&gt;=4,"Excellent")</f>
        <v>Good</v>
      </c>
    </row>
    <row r="272" spans="1:24" x14ac:dyDescent="0.35">
      <c r="A272" s="2" t="s">
        <v>492</v>
      </c>
      <c r="B272" s="3">
        <v>45782</v>
      </c>
      <c r="C272" s="3" t="str">
        <f>TEXT(Table1_1[[#This Row],[Date]],"YYYY")</f>
        <v>2025</v>
      </c>
      <c r="D272" s="3" t="str">
        <f>TEXT(Table1_1[[#This Row],[Date]],"mmm")</f>
        <v>May</v>
      </c>
      <c r="E272" s="2" t="s">
        <v>21</v>
      </c>
      <c r="F272" s="2" t="str">
        <f>INDEX(IndiGo_Flight_Data!$R$2:$R$11,MATCH(Table1_1[[#This Row],[Route]],_xlfn.ANCHORARRAY(IndiGo_Flight_Data!$Q$2),0))</f>
        <v>Bengaluru - Hyderabad</v>
      </c>
      <c r="G272" s="2" t="s">
        <v>17</v>
      </c>
      <c r="H272">
        <v>65</v>
      </c>
      <c r="I272">
        <v>78</v>
      </c>
      <c r="J272">
        <f>Table1_1[[#This Row],[Seat_Capacity]]-Table1_1[[#This Row],[Passengers]]</f>
        <v>13</v>
      </c>
      <c r="K272">
        <v>83.33</v>
      </c>
      <c r="L272" t="str" cm="1">
        <f t="array" ref="L272">_xlfn.IFS(Table1_1[[#This Row],[Load_Factor_%]]&lt;60,"Low",Table1_1[[#This Row],[Load_Factor_%]]&lt;85,"Intermediate",Table1_1[[#This Row],[Load_Factor_%]]&gt;=85,"High")</f>
        <v>Intermediate</v>
      </c>
      <c r="M272" s="4">
        <v>444433</v>
      </c>
      <c r="N272" s="4">
        <v>88479</v>
      </c>
      <c r="O272" s="4">
        <f>SUM(Table1_1[[#This Row],[Ticket_Revenue_INR]:[Cargo_Revenue_INR]])</f>
        <v>532912</v>
      </c>
      <c r="P272" s="4">
        <v>281253</v>
      </c>
      <c r="Q272" s="4">
        <v>734016</v>
      </c>
      <c r="R272" s="4">
        <f>SUM(Table1_1[[#This Row],[Fuel_Cost_INR]:[Operating_Cost_INR]])</f>
        <v>1015269</v>
      </c>
      <c r="S272" s="4">
        <f>Table1_1[[#This Row],[Total_Revenue]]-Table1_1[[#This Row],[Total_Cost]]</f>
        <v>-482357</v>
      </c>
      <c r="T272" s="9">
        <f>(Table1_1[[#This Row],[Total_Profit]]/Table1_1[[#This Row],[Total_Revenue]])</f>
        <v>-0.90513443120064851</v>
      </c>
      <c r="U272" s="5">
        <v>60</v>
      </c>
      <c r="V272" s="6" t="s">
        <v>18</v>
      </c>
      <c r="W272" s="8">
        <v>3.7</v>
      </c>
      <c r="X272" t="str" cm="1">
        <f t="array" ref="X272">_xlfn.IFS(Table1_1[[#This Row],[Customer_Rating]]&lt;3,"Poor",Table1_1[[#This Row],[Customer_Rating]]&lt;4,"Good",Table1_1[[#This Row],[Customer_Rating]]&gt;=4,"Excellent")</f>
        <v>Good</v>
      </c>
    </row>
    <row r="273" spans="1:24" x14ac:dyDescent="0.35">
      <c r="A273" s="2" t="s">
        <v>493</v>
      </c>
      <c r="B273" s="3">
        <v>45829</v>
      </c>
      <c r="C273" s="3" t="str">
        <f>TEXT(Table1_1[[#This Row],[Date]],"YYYY")</f>
        <v>2025</v>
      </c>
      <c r="D273" s="3" t="str">
        <f>TEXT(Table1_1[[#This Row],[Date]],"mmm")</f>
        <v>Jun</v>
      </c>
      <c r="E273" s="2" t="s">
        <v>36</v>
      </c>
      <c r="F273" s="2" t="str">
        <f>INDEX(IndiGo_Flight_Data!$R$2:$R$11,MATCH(Table1_1[[#This Row],[Route]],_xlfn.ANCHORARRAY(IndiGo_Flight_Data!$Q$2),0))</f>
        <v>Delhi - Bombay</v>
      </c>
      <c r="G273" s="2" t="s">
        <v>17</v>
      </c>
      <c r="H273">
        <v>74</v>
      </c>
      <c r="I273">
        <v>78</v>
      </c>
      <c r="J273">
        <f>Table1_1[[#This Row],[Seat_Capacity]]-Table1_1[[#This Row],[Passengers]]</f>
        <v>4</v>
      </c>
      <c r="K273">
        <v>94.87</v>
      </c>
      <c r="L273" t="str" cm="1">
        <f t="array" ref="L273">_xlfn.IFS(Table1_1[[#This Row],[Load_Factor_%]]&lt;60,"Low",Table1_1[[#This Row],[Load_Factor_%]]&lt;85,"Intermediate",Table1_1[[#This Row],[Load_Factor_%]]&gt;=85,"High")</f>
        <v>High</v>
      </c>
      <c r="M273" s="4">
        <v>270257</v>
      </c>
      <c r="N273" s="4">
        <v>41905</v>
      </c>
      <c r="O273" s="4">
        <f>SUM(Table1_1[[#This Row],[Ticket_Revenue_INR]:[Cargo_Revenue_INR]])</f>
        <v>312162</v>
      </c>
      <c r="P273" s="4">
        <v>991750</v>
      </c>
      <c r="Q273" s="4">
        <v>1111934</v>
      </c>
      <c r="R273" s="4">
        <f>SUM(Table1_1[[#This Row],[Fuel_Cost_INR]:[Operating_Cost_INR]])</f>
        <v>2103684</v>
      </c>
      <c r="S273" s="4">
        <f>Table1_1[[#This Row],[Total_Revenue]]-Table1_1[[#This Row],[Total_Cost]]</f>
        <v>-1791522</v>
      </c>
      <c r="T273" s="9">
        <f>(Table1_1[[#This Row],[Total_Profit]]/Table1_1[[#This Row],[Total_Revenue]])</f>
        <v>-5.7390777865339153</v>
      </c>
      <c r="U273" s="5">
        <v>86</v>
      </c>
      <c r="V273" s="6" t="s">
        <v>18</v>
      </c>
      <c r="W273" s="8">
        <v>4</v>
      </c>
      <c r="X273" t="str" cm="1">
        <f t="array" ref="X273">_xlfn.IFS(Table1_1[[#This Row],[Customer_Rating]]&lt;3,"Poor",Table1_1[[#This Row],[Customer_Rating]]&lt;4,"Good",Table1_1[[#This Row],[Customer_Rating]]&gt;=4,"Excellent")</f>
        <v>Excellent</v>
      </c>
    </row>
    <row r="274" spans="1:24" x14ac:dyDescent="0.35">
      <c r="A274" s="2" t="s">
        <v>495</v>
      </c>
      <c r="B274" s="3">
        <v>45770</v>
      </c>
      <c r="C274" s="3" t="str">
        <f>TEXT(Table1_1[[#This Row],[Date]],"YYYY")</f>
        <v>2025</v>
      </c>
      <c r="D274" s="3" t="str">
        <f>TEXT(Table1_1[[#This Row],[Date]],"mmm")</f>
        <v>Apr</v>
      </c>
      <c r="E274" s="2" t="s">
        <v>42</v>
      </c>
      <c r="F274" s="2" t="str">
        <f>INDEX(IndiGo_Flight_Data!$R$2:$R$11,MATCH(Table1_1[[#This Row],[Route]],_xlfn.ANCHORARRAY(IndiGo_Flight_Data!$Q$2),0))</f>
        <v>Bombay - Hyderabad</v>
      </c>
      <c r="G274" s="2" t="s">
        <v>17</v>
      </c>
      <c r="H274">
        <v>63</v>
      </c>
      <c r="I274">
        <v>78</v>
      </c>
      <c r="J274">
        <f>Table1_1[[#This Row],[Seat_Capacity]]-Table1_1[[#This Row],[Passengers]]</f>
        <v>15</v>
      </c>
      <c r="K274">
        <v>80.77</v>
      </c>
      <c r="L274" t="str" cm="1">
        <f t="array" ref="L274">_xlfn.IFS(Table1_1[[#This Row],[Load_Factor_%]]&lt;60,"Low",Table1_1[[#This Row],[Load_Factor_%]]&lt;85,"Intermediate",Table1_1[[#This Row],[Load_Factor_%]]&gt;=85,"High")</f>
        <v>Intermediate</v>
      </c>
      <c r="M274" s="4">
        <v>233175</v>
      </c>
      <c r="N274" s="4">
        <v>81023</v>
      </c>
      <c r="O274" s="4">
        <f>SUM(Table1_1[[#This Row],[Ticket_Revenue_INR]:[Cargo_Revenue_INR]])</f>
        <v>314198</v>
      </c>
      <c r="P274" s="4">
        <v>899195</v>
      </c>
      <c r="Q274" s="4">
        <v>1131866</v>
      </c>
      <c r="R274" s="4">
        <f>SUM(Table1_1[[#This Row],[Fuel_Cost_INR]:[Operating_Cost_INR]])</f>
        <v>2031061</v>
      </c>
      <c r="S274" s="4">
        <f>Table1_1[[#This Row],[Total_Revenue]]-Table1_1[[#This Row],[Total_Cost]]</f>
        <v>-1716863</v>
      </c>
      <c r="T274" s="9">
        <f>(Table1_1[[#This Row],[Total_Profit]]/Table1_1[[#This Row],[Total_Revenue]])</f>
        <v>-5.4642709374343568</v>
      </c>
      <c r="U274" s="5">
        <v>66</v>
      </c>
      <c r="V274" s="6" t="s">
        <v>18</v>
      </c>
      <c r="W274" s="8">
        <v>3.6</v>
      </c>
      <c r="X274" t="str" cm="1">
        <f t="array" ref="X274">_xlfn.IFS(Table1_1[[#This Row],[Customer_Rating]]&lt;3,"Poor",Table1_1[[#This Row],[Customer_Rating]]&lt;4,"Good",Table1_1[[#This Row],[Customer_Rating]]&gt;=4,"Excellent")</f>
        <v>Good</v>
      </c>
    </row>
    <row r="275" spans="1:24" x14ac:dyDescent="0.35">
      <c r="A275" s="2" t="s">
        <v>497</v>
      </c>
      <c r="B275" s="3">
        <v>45828</v>
      </c>
      <c r="C275" s="3" t="str">
        <f>TEXT(Table1_1[[#This Row],[Date]],"YYYY")</f>
        <v>2025</v>
      </c>
      <c r="D275" s="3" t="str">
        <f>TEXT(Table1_1[[#This Row],[Date]],"mmm")</f>
        <v>Jun</v>
      </c>
      <c r="E275" s="2" t="s">
        <v>117</v>
      </c>
      <c r="F275" s="2" t="str">
        <f>INDEX(IndiGo_Flight_Data!$R$2:$R$11,MATCH(Table1_1[[#This Row],[Route]],_xlfn.ANCHORARRAY(IndiGo_Flight_Data!$Q$2),0))</f>
        <v>Bengaluru - Calacatta</v>
      </c>
      <c r="G275" s="2" t="s">
        <v>24</v>
      </c>
      <c r="H275">
        <v>139</v>
      </c>
      <c r="I275">
        <v>180</v>
      </c>
      <c r="J275">
        <f>Table1_1[[#This Row],[Seat_Capacity]]-Table1_1[[#This Row],[Passengers]]</f>
        <v>41</v>
      </c>
      <c r="K275">
        <v>77.22</v>
      </c>
      <c r="L275" t="str" cm="1">
        <f t="array" ref="L275">_xlfn.IFS(Table1_1[[#This Row],[Load_Factor_%]]&lt;60,"Low",Table1_1[[#This Row],[Load_Factor_%]]&lt;85,"Intermediate",Table1_1[[#This Row],[Load_Factor_%]]&gt;=85,"High")</f>
        <v>Intermediate</v>
      </c>
      <c r="M275" s="4">
        <v>1239961</v>
      </c>
      <c r="N275" s="4">
        <v>22175</v>
      </c>
      <c r="O275" s="4">
        <f>SUM(Table1_1[[#This Row],[Ticket_Revenue_INR]:[Cargo_Revenue_INR]])</f>
        <v>1262136</v>
      </c>
      <c r="P275" s="4">
        <v>695288</v>
      </c>
      <c r="Q275" s="4">
        <v>1295859</v>
      </c>
      <c r="R275" s="4">
        <f>SUM(Table1_1[[#This Row],[Fuel_Cost_INR]:[Operating_Cost_INR]])</f>
        <v>1991147</v>
      </c>
      <c r="S275" s="4">
        <f>Table1_1[[#This Row],[Total_Revenue]]-Table1_1[[#This Row],[Total_Cost]]</f>
        <v>-729011</v>
      </c>
      <c r="T275" s="9">
        <f>(Table1_1[[#This Row],[Total_Profit]]/Table1_1[[#This Row],[Total_Revenue]])</f>
        <v>-0.57760098753224687</v>
      </c>
      <c r="U275" s="5">
        <v>74</v>
      </c>
      <c r="V275" s="6" t="s">
        <v>18</v>
      </c>
      <c r="W275" s="8">
        <v>4.4000000000000004</v>
      </c>
      <c r="X275" t="str" cm="1">
        <f t="array" ref="X275">_xlfn.IFS(Table1_1[[#This Row],[Customer_Rating]]&lt;3,"Poor",Table1_1[[#This Row],[Customer_Rating]]&lt;4,"Good",Table1_1[[#This Row],[Customer_Rating]]&gt;=4,"Excellent")</f>
        <v>Excellent</v>
      </c>
    </row>
    <row r="276" spans="1:24" x14ac:dyDescent="0.35">
      <c r="A276" s="2" t="s">
        <v>498</v>
      </c>
      <c r="B276" s="3">
        <v>45857</v>
      </c>
      <c r="C276" s="3" t="str">
        <f>TEXT(Table1_1[[#This Row],[Date]],"YYYY")</f>
        <v>2025</v>
      </c>
      <c r="D276" s="3" t="str">
        <f>TEXT(Table1_1[[#This Row],[Date]],"mmm")</f>
        <v>Jul</v>
      </c>
      <c r="E276" s="2" t="s">
        <v>32</v>
      </c>
      <c r="F276" s="2" t="str">
        <f>INDEX(IndiGo_Flight_Data!$R$2:$R$11,MATCH(Table1_1[[#This Row],[Route]],_xlfn.ANCHORARRAY(IndiGo_Flight_Data!$Q$2),0))</f>
        <v>Bengaluru - Cochin</v>
      </c>
      <c r="G276" s="2" t="s">
        <v>24</v>
      </c>
      <c r="H276">
        <v>167</v>
      </c>
      <c r="I276">
        <v>180</v>
      </c>
      <c r="J276">
        <f>Table1_1[[#This Row],[Seat_Capacity]]-Table1_1[[#This Row],[Passengers]]</f>
        <v>13</v>
      </c>
      <c r="K276">
        <v>92.78</v>
      </c>
      <c r="L276" t="str" cm="1">
        <f t="array" ref="L276">_xlfn.IFS(Table1_1[[#This Row],[Load_Factor_%]]&lt;60,"Low",Table1_1[[#This Row],[Load_Factor_%]]&lt;85,"Intermediate",Table1_1[[#This Row],[Load_Factor_%]]&gt;=85,"High")</f>
        <v>High</v>
      </c>
      <c r="M276" s="4">
        <v>957975</v>
      </c>
      <c r="N276" s="4">
        <v>23069</v>
      </c>
      <c r="O276" s="4">
        <f>SUM(Table1_1[[#This Row],[Ticket_Revenue_INR]:[Cargo_Revenue_INR]])</f>
        <v>981044</v>
      </c>
      <c r="P276" s="4">
        <v>1149259</v>
      </c>
      <c r="Q276" s="4">
        <v>1682100</v>
      </c>
      <c r="R276" s="4">
        <f>SUM(Table1_1[[#This Row],[Fuel_Cost_INR]:[Operating_Cost_INR]])</f>
        <v>2831359</v>
      </c>
      <c r="S276" s="4">
        <f>Table1_1[[#This Row],[Total_Revenue]]-Table1_1[[#This Row],[Total_Cost]]</f>
        <v>-1850315</v>
      </c>
      <c r="T276" s="9">
        <f>(Table1_1[[#This Row],[Total_Profit]]/Table1_1[[#This Row],[Total_Revenue]])</f>
        <v>-1.8860672915791747</v>
      </c>
      <c r="U276" s="5">
        <v>2</v>
      </c>
      <c r="V276" s="6" t="s">
        <v>33</v>
      </c>
      <c r="W276" s="8">
        <v>3.6</v>
      </c>
      <c r="X276" t="str" cm="1">
        <f t="array" ref="X276">_xlfn.IFS(Table1_1[[#This Row],[Customer_Rating]]&lt;3,"Poor",Table1_1[[#This Row],[Customer_Rating]]&lt;4,"Good",Table1_1[[#This Row],[Customer_Rating]]&gt;=4,"Excellent")</f>
        <v>Good</v>
      </c>
    </row>
    <row r="277" spans="1:24" x14ac:dyDescent="0.35">
      <c r="A277" s="2" t="s">
        <v>500</v>
      </c>
      <c r="B277" s="3">
        <v>45828</v>
      </c>
      <c r="C277" s="3" t="str">
        <f>TEXT(Table1_1[[#This Row],[Date]],"YYYY")</f>
        <v>2025</v>
      </c>
      <c r="D277" s="3" t="str">
        <f>TEXT(Table1_1[[#This Row],[Date]],"mmm")</f>
        <v>Jun</v>
      </c>
      <c r="E277" s="2" t="s">
        <v>32</v>
      </c>
      <c r="F277" s="2" t="str">
        <f>INDEX(IndiGo_Flight_Data!$R$2:$R$11,MATCH(Table1_1[[#This Row],[Route]],_xlfn.ANCHORARRAY(IndiGo_Flight_Data!$Q$2),0))</f>
        <v>Bengaluru - Cochin</v>
      </c>
      <c r="G277" s="2" t="s">
        <v>17</v>
      </c>
      <c r="H277">
        <v>46</v>
      </c>
      <c r="I277">
        <v>78</v>
      </c>
      <c r="J277">
        <f>Table1_1[[#This Row],[Seat_Capacity]]-Table1_1[[#This Row],[Passengers]]</f>
        <v>32</v>
      </c>
      <c r="K277">
        <v>58.97</v>
      </c>
      <c r="L277" t="str" cm="1">
        <f t="array" ref="L277">_xlfn.IFS(Table1_1[[#This Row],[Load_Factor_%]]&lt;60,"Low",Table1_1[[#This Row],[Load_Factor_%]]&lt;85,"Intermediate",Table1_1[[#This Row],[Load_Factor_%]]&gt;=85,"High")</f>
        <v>Low</v>
      </c>
      <c r="M277" s="4">
        <v>176731</v>
      </c>
      <c r="N277" s="4">
        <v>127561</v>
      </c>
      <c r="O277" s="4">
        <f>SUM(Table1_1[[#This Row],[Ticket_Revenue_INR]:[Cargo_Revenue_INR]])</f>
        <v>304292</v>
      </c>
      <c r="P277" s="4">
        <v>681705</v>
      </c>
      <c r="Q277" s="4">
        <v>969969</v>
      </c>
      <c r="R277" s="4">
        <f>SUM(Table1_1[[#This Row],[Fuel_Cost_INR]:[Operating_Cost_INR]])</f>
        <v>1651674</v>
      </c>
      <c r="S277" s="4">
        <f>Table1_1[[#This Row],[Total_Revenue]]-Table1_1[[#This Row],[Total_Cost]]</f>
        <v>-1347382</v>
      </c>
      <c r="T277" s="9">
        <f>(Table1_1[[#This Row],[Total_Profit]]/Table1_1[[#This Row],[Total_Revenue]])</f>
        <v>-4.4279244935785362</v>
      </c>
      <c r="U277" s="5">
        <v>22</v>
      </c>
      <c r="V277" s="6" t="s">
        <v>18</v>
      </c>
      <c r="W277" s="8">
        <v>4.5</v>
      </c>
      <c r="X277" t="str" cm="1">
        <f t="array" ref="X277">_xlfn.IFS(Table1_1[[#This Row],[Customer_Rating]]&lt;3,"Poor",Table1_1[[#This Row],[Customer_Rating]]&lt;4,"Good",Table1_1[[#This Row],[Customer_Rating]]&gt;=4,"Excellent")</f>
        <v>Excellent</v>
      </c>
    </row>
    <row r="278" spans="1:24" x14ac:dyDescent="0.35">
      <c r="A278" s="2" t="s">
        <v>501</v>
      </c>
      <c r="B278" s="3">
        <v>45743</v>
      </c>
      <c r="C278" s="3" t="str">
        <f>TEXT(Table1_1[[#This Row],[Date]],"YYYY")</f>
        <v>2025</v>
      </c>
      <c r="D278" s="3" t="str">
        <f>TEXT(Table1_1[[#This Row],[Date]],"mmm")</f>
        <v>Mar</v>
      </c>
      <c r="E278" s="2" t="s">
        <v>29</v>
      </c>
      <c r="F278" s="2" t="str">
        <f>INDEX(IndiGo_Flight_Data!$R$2:$R$11,MATCH(Table1_1[[#This Row],[Route]],_xlfn.ANCHORARRAY(IndiGo_Flight_Data!$Q$2),0))</f>
        <v>Calacatta - Delhi</v>
      </c>
      <c r="G278" s="2" t="s">
        <v>43</v>
      </c>
      <c r="H278">
        <v>178</v>
      </c>
      <c r="I278">
        <v>232</v>
      </c>
      <c r="J278">
        <f>Table1_1[[#This Row],[Seat_Capacity]]-Table1_1[[#This Row],[Passengers]]</f>
        <v>54</v>
      </c>
      <c r="K278">
        <v>76.72</v>
      </c>
      <c r="L278" t="str" cm="1">
        <f t="array" ref="L278">_xlfn.IFS(Table1_1[[#This Row],[Load_Factor_%]]&lt;60,"Low",Table1_1[[#This Row],[Load_Factor_%]]&lt;85,"Intermediate",Table1_1[[#This Row],[Load_Factor_%]]&gt;=85,"High")</f>
        <v>Intermediate</v>
      </c>
      <c r="M278" s="4">
        <v>806899</v>
      </c>
      <c r="N278" s="4">
        <v>33844</v>
      </c>
      <c r="O278" s="4">
        <f>SUM(Table1_1[[#This Row],[Ticket_Revenue_INR]:[Cargo_Revenue_INR]])</f>
        <v>840743</v>
      </c>
      <c r="P278" s="4">
        <v>1053970</v>
      </c>
      <c r="Q278" s="4">
        <v>1711584</v>
      </c>
      <c r="R278" s="4">
        <f>SUM(Table1_1[[#This Row],[Fuel_Cost_INR]:[Operating_Cost_INR]])</f>
        <v>2765554</v>
      </c>
      <c r="S278" s="4">
        <f>Table1_1[[#This Row],[Total_Revenue]]-Table1_1[[#This Row],[Total_Cost]]</f>
        <v>-1924811</v>
      </c>
      <c r="T278" s="9">
        <f>(Table1_1[[#This Row],[Total_Profit]]/Table1_1[[#This Row],[Total_Revenue]])</f>
        <v>-2.2894166231535675</v>
      </c>
      <c r="U278" s="5">
        <v>57</v>
      </c>
      <c r="V278" s="6" t="s">
        <v>18</v>
      </c>
      <c r="W278" s="8">
        <v>3.2</v>
      </c>
      <c r="X278" t="str" cm="1">
        <f t="array" ref="X278">_xlfn.IFS(Table1_1[[#This Row],[Customer_Rating]]&lt;3,"Poor",Table1_1[[#This Row],[Customer_Rating]]&lt;4,"Good",Table1_1[[#This Row],[Customer_Rating]]&gt;=4,"Excellent")</f>
        <v>Good</v>
      </c>
    </row>
    <row r="279" spans="1:24" x14ac:dyDescent="0.35">
      <c r="A279" s="2" t="s">
        <v>503</v>
      </c>
      <c r="B279" s="3">
        <v>45864</v>
      </c>
      <c r="C279" s="3" t="str">
        <f>TEXT(Table1_1[[#This Row],[Date]],"YYYY")</f>
        <v>2025</v>
      </c>
      <c r="D279" s="3" t="str">
        <f>TEXT(Table1_1[[#This Row],[Date]],"mmm")</f>
        <v>Jul</v>
      </c>
      <c r="E279" s="2" t="s">
        <v>36</v>
      </c>
      <c r="F279" s="2" t="str">
        <f>INDEX(IndiGo_Flight_Data!$R$2:$R$11,MATCH(Table1_1[[#This Row],[Route]],_xlfn.ANCHORARRAY(IndiGo_Flight_Data!$Q$2),0))</f>
        <v>Delhi - Bombay</v>
      </c>
      <c r="G279" s="2" t="s">
        <v>43</v>
      </c>
      <c r="H279">
        <v>172</v>
      </c>
      <c r="I279">
        <v>232</v>
      </c>
      <c r="J279">
        <f>Table1_1[[#This Row],[Seat_Capacity]]-Table1_1[[#This Row],[Passengers]]</f>
        <v>60</v>
      </c>
      <c r="K279">
        <v>74.14</v>
      </c>
      <c r="L279" t="str" cm="1">
        <f t="array" ref="L279">_xlfn.IFS(Table1_1[[#This Row],[Load_Factor_%]]&lt;60,"Low",Table1_1[[#This Row],[Load_Factor_%]]&lt;85,"Intermediate",Table1_1[[#This Row],[Load_Factor_%]]&gt;=85,"High")</f>
        <v>Intermediate</v>
      </c>
      <c r="M279" s="4">
        <v>1284317</v>
      </c>
      <c r="N279" s="4">
        <v>110640</v>
      </c>
      <c r="O279" s="4">
        <f>SUM(Table1_1[[#This Row],[Ticket_Revenue_INR]:[Cargo_Revenue_INR]])</f>
        <v>1394957</v>
      </c>
      <c r="P279" s="4">
        <v>779475</v>
      </c>
      <c r="Q279" s="4">
        <v>1474516</v>
      </c>
      <c r="R279" s="4">
        <f>SUM(Table1_1[[#This Row],[Fuel_Cost_INR]:[Operating_Cost_INR]])</f>
        <v>2253991</v>
      </c>
      <c r="S279" s="4">
        <f>Table1_1[[#This Row],[Total_Revenue]]-Table1_1[[#This Row],[Total_Cost]]</f>
        <v>-859034</v>
      </c>
      <c r="T279" s="9">
        <f>(Table1_1[[#This Row],[Total_Profit]]/Table1_1[[#This Row],[Total_Revenue]])</f>
        <v>-0.61581396415803502</v>
      </c>
      <c r="U279" s="5">
        <v>28</v>
      </c>
      <c r="V279" s="6" t="s">
        <v>18</v>
      </c>
      <c r="W279" s="8">
        <v>3.7</v>
      </c>
      <c r="X279" t="str" cm="1">
        <f t="array" ref="X279">_xlfn.IFS(Table1_1[[#This Row],[Customer_Rating]]&lt;3,"Poor",Table1_1[[#This Row],[Customer_Rating]]&lt;4,"Good",Table1_1[[#This Row],[Customer_Rating]]&gt;=4,"Excellent")</f>
        <v>Good</v>
      </c>
    </row>
    <row r="280" spans="1:24" x14ac:dyDescent="0.35">
      <c r="A280" s="2" t="s">
        <v>505</v>
      </c>
      <c r="B280" s="3">
        <v>45917</v>
      </c>
      <c r="C280" s="3" t="str">
        <f>TEXT(Table1_1[[#This Row],[Date]],"YYYY")</f>
        <v>2025</v>
      </c>
      <c r="D280" s="3" t="str">
        <f>TEXT(Table1_1[[#This Row],[Date]],"mmm")</f>
        <v>Sep</v>
      </c>
      <c r="E280" s="2" t="s">
        <v>16</v>
      </c>
      <c r="F280" s="2" t="str">
        <f>INDEX(IndiGo_Flight_Data!$R$2:$R$11,MATCH(Table1_1[[#This Row],[Route]],_xlfn.ANCHORARRAY(IndiGo_Flight_Data!$Q$2),0))</f>
        <v>Delhi - Goa</v>
      </c>
      <c r="G280" s="2" t="s">
        <v>43</v>
      </c>
      <c r="H280">
        <v>156</v>
      </c>
      <c r="I280">
        <v>232</v>
      </c>
      <c r="J280">
        <f>Table1_1[[#This Row],[Seat_Capacity]]-Table1_1[[#This Row],[Passengers]]</f>
        <v>76</v>
      </c>
      <c r="K280">
        <v>67.239999999999995</v>
      </c>
      <c r="L280" t="str" cm="1">
        <f t="array" ref="L280">_xlfn.IFS(Table1_1[[#This Row],[Load_Factor_%]]&lt;60,"Low",Table1_1[[#This Row],[Load_Factor_%]]&lt;85,"Intermediate",Table1_1[[#This Row],[Load_Factor_%]]&gt;=85,"High")</f>
        <v>Intermediate</v>
      </c>
      <c r="M280" s="4">
        <v>1230456</v>
      </c>
      <c r="N280" s="4">
        <v>95310</v>
      </c>
      <c r="O280" s="4">
        <f>SUM(Table1_1[[#This Row],[Ticket_Revenue_INR]:[Cargo_Revenue_INR]])</f>
        <v>1325766</v>
      </c>
      <c r="P280" s="4">
        <v>590511</v>
      </c>
      <c r="Q280" s="4">
        <v>1258877</v>
      </c>
      <c r="R280" s="4">
        <f>SUM(Table1_1[[#This Row],[Fuel_Cost_INR]:[Operating_Cost_INR]])</f>
        <v>1849388</v>
      </c>
      <c r="S280" s="4">
        <f>Table1_1[[#This Row],[Total_Revenue]]-Table1_1[[#This Row],[Total_Cost]]</f>
        <v>-523622</v>
      </c>
      <c r="T280" s="9">
        <f>(Table1_1[[#This Row],[Total_Profit]]/Table1_1[[#This Row],[Total_Revenue]])</f>
        <v>-0.39495808460919951</v>
      </c>
      <c r="U280" s="5">
        <v>89</v>
      </c>
      <c r="V280" s="6" t="s">
        <v>18</v>
      </c>
      <c r="W280" s="8">
        <v>4</v>
      </c>
      <c r="X280" t="str" cm="1">
        <f t="array" ref="X280">_xlfn.IFS(Table1_1[[#This Row],[Customer_Rating]]&lt;3,"Poor",Table1_1[[#This Row],[Customer_Rating]]&lt;4,"Good",Table1_1[[#This Row],[Customer_Rating]]&gt;=4,"Excellent")</f>
        <v>Excellent</v>
      </c>
    </row>
    <row r="281" spans="1:24" x14ac:dyDescent="0.35">
      <c r="A281" s="2" t="s">
        <v>507</v>
      </c>
      <c r="B281" s="3">
        <v>45764</v>
      </c>
      <c r="C281" s="3" t="str">
        <f>TEXT(Table1_1[[#This Row],[Date]],"YYYY")</f>
        <v>2025</v>
      </c>
      <c r="D281" s="3" t="str">
        <f>TEXT(Table1_1[[#This Row],[Date]],"mmm")</f>
        <v>Apr</v>
      </c>
      <c r="E281" s="2" t="s">
        <v>16</v>
      </c>
      <c r="F281" s="2" t="str">
        <f>INDEX(IndiGo_Flight_Data!$R$2:$R$11,MATCH(Table1_1[[#This Row],[Route]],_xlfn.ANCHORARRAY(IndiGo_Flight_Data!$Q$2),0))</f>
        <v>Delhi - Goa</v>
      </c>
      <c r="G281" s="2" t="s">
        <v>43</v>
      </c>
      <c r="H281">
        <v>166</v>
      </c>
      <c r="I281">
        <v>232</v>
      </c>
      <c r="J281">
        <f>Table1_1[[#This Row],[Seat_Capacity]]-Table1_1[[#This Row],[Passengers]]</f>
        <v>66</v>
      </c>
      <c r="K281">
        <v>71.55</v>
      </c>
      <c r="L281" t="str" cm="1">
        <f t="array" ref="L281">_xlfn.IFS(Table1_1[[#This Row],[Load_Factor_%]]&lt;60,"Low",Table1_1[[#This Row],[Load_Factor_%]]&lt;85,"Intermediate",Table1_1[[#This Row],[Load_Factor_%]]&gt;=85,"High")</f>
        <v>Intermediate</v>
      </c>
      <c r="M281" s="4">
        <v>1456576</v>
      </c>
      <c r="N281" s="4">
        <v>63883</v>
      </c>
      <c r="O281" s="4">
        <f>SUM(Table1_1[[#This Row],[Ticket_Revenue_INR]:[Cargo_Revenue_INR]])</f>
        <v>1520459</v>
      </c>
      <c r="P281" s="4">
        <v>405263</v>
      </c>
      <c r="Q281" s="4">
        <v>986103</v>
      </c>
      <c r="R281" s="4">
        <f>SUM(Table1_1[[#This Row],[Fuel_Cost_INR]:[Operating_Cost_INR]])</f>
        <v>1391366</v>
      </c>
      <c r="S281" s="4">
        <f>Table1_1[[#This Row],[Total_Revenue]]-Table1_1[[#This Row],[Total_Cost]]</f>
        <v>129093</v>
      </c>
      <c r="T281" s="9">
        <f>(Table1_1[[#This Row],[Total_Profit]]/Table1_1[[#This Row],[Total_Revenue]])</f>
        <v>8.4903966499589922E-2</v>
      </c>
      <c r="U281" s="5">
        <v>31</v>
      </c>
      <c r="V281" s="6" t="s">
        <v>18</v>
      </c>
      <c r="W281" s="8">
        <v>4.4000000000000004</v>
      </c>
      <c r="X281" t="str" cm="1">
        <f t="array" ref="X281">_xlfn.IFS(Table1_1[[#This Row],[Customer_Rating]]&lt;3,"Poor",Table1_1[[#This Row],[Customer_Rating]]&lt;4,"Good",Table1_1[[#This Row],[Customer_Rating]]&gt;=4,"Excellent")</f>
        <v>Excellent</v>
      </c>
    </row>
    <row r="282" spans="1:24" x14ac:dyDescent="0.35">
      <c r="A282" s="2" t="s">
        <v>508</v>
      </c>
      <c r="B282" s="3">
        <v>45855</v>
      </c>
      <c r="C282" s="3" t="str">
        <f>TEXT(Table1_1[[#This Row],[Date]],"YYYY")</f>
        <v>2025</v>
      </c>
      <c r="D282" s="3" t="str">
        <f>TEXT(Table1_1[[#This Row],[Date]],"mmm")</f>
        <v>Jul</v>
      </c>
      <c r="E282" s="2" t="s">
        <v>76</v>
      </c>
      <c r="F282" s="2" t="str">
        <f>INDEX(IndiGo_Flight_Data!$R$2:$R$11,MATCH(Table1_1[[#This Row],[Route]],_xlfn.ANCHORARRAY(IndiGo_Flight_Data!$Q$2),0))</f>
        <v>Madras - Delhi</v>
      </c>
      <c r="G282" s="2" t="s">
        <v>24</v>
      </c>
      <c r="H282">
        <v>118</v>
      </c>
      <c r="I282">
        <v>180</v>
      </c>
      <c r="J282">
        <f>Table1_1[[#This Row],[Seat_Capacity]]-Table1_1[[#This Row],[Passengers]]</f>
        <v>62</v>
      </c>
      <c r="K282">
        <v>65.56</v>
      </c>
      <c r="L282" t="str" cm="1">
        <f t="array" ref="L282">_xlfn.IFS(Table1_1[[#This Row],[Load_Factor_%]]&lt;60,"Low",Table1_1[[#This Row],[Load_Factor_%]]&lt;85,"Intermediate",Table1_1[[#This Row],[Load_Factor_%]]&gt;=85,"High")</f>
        <v>Intermediate</v>
      </c>
      <c r="M282" s="4">
        <v>813197</v>
      </c>
      <c r="N282" s="4">
        <v>102896</v>
      </c>
      <c r="O282" s="4">
        <f>SUM(Table1_1[[#This Row],[Ticket_Revenue_INR]:[Cargo_Revenue_INR]])</f>
        <v>916093</v>
      </c>
      <c r="P282" s="4">
        <v>849381</v>
      </c>
      <c r="Q282" s="4">
        <v>1529084</v>
      </c>
      <c r="R282" s="4">
        <f>SUM(Table1_1[[#This Row],[Fuel_Cost_INR]:[Operating_Cost_INR]])</f>
        <v>2378465</v>
      </c>
      <c r="S282" s="4">
        <f>Table1_1[[#This Row],[Total_Revenue]]-Table1_1[[#This Row],[Total_Cost]]</f>
        <v>-1462372</v>
      </c>
      <c r="T282" s="9">
        <f>(Table1_1[[#This Row],[Total_Profit]]/Table1_1[[#This Row],[Total_Revenue]])</f>
        <v>-1.5963139113605278</v>
      </c>
      <c r="U282" s="5">
        <v>31</v>
      </c>
      <c r="V282" s="6" t="s">
        <v>18</v>
      </c>
      <c r="W282" s="8">
        <v>4.7</v>
      </c>
      <c r="X282" t="str" cm="1">
        <f t="array" ref="X282">_xlfn.IFS(Table1_1[[#This Row],[Customer_Rating]]&lt;3,"Poor",Table1_1[[#This Row],[Customer_Rating]]&lt;4,"Good",Table1_1[[#This Row],[Customer_Rating]]&gt;=4,"Excellent")</f>
        <v>Excellent</v>
      </c>
    </row>
    <row r="283" spans="1:24" x14ac:dyDescent="0.35">
      <c r="A283" s="2" t="s">
        <v>510</v>
      </c>
      <c r="B283" s="3">
        <v>45705</v>
      </c>
      <c r="C283" s="3" t="str">
        <f>TEXT(Table1_1[[#This Row],[Date]],"YYYY")</f>
        <v>2025</v>
      </c>
      <c r="D283" s="3" t="str">
        <f>TEXT(Table1_1[[#This Row],[Date]],"mmm")</f>
        <v>Feb</v>
      </c>
      <c r="E283" s="2" t="s">
        <v>39</v>
      </c>
      <c r="F283" s="2" t="str">
        <f>INDEX(IndiGo_Flight_Data!$R$2:$R$11,MATCH(Table1_1[[#This Row],[Route]],_xlfn.ANCHORARRAY(IndiGo_Flight_Data!$Q$2),0))</f>
        <v>Bengaluru - Delhi</v>
      </c>
      <c r="G283" s="2" t="s">
        <v>24</v>
      </c>
      <c r="H283">
        <v>110</v>
      </c>
      <c r="I283">
        <v>180</v>
      </c>
      <c r="J283">
        <f>Table1_1[[#This Row],[Seat_Capacity]]-Table1_1[[#This Row],[Passengers]]</f>
        <v>70</v>
      </c>
      <c r="K283">
        <v>61.11</v>
      </c>
      <c r="L283" t="str" cm="1">
        <f t="array" ref="L283">_xlfn.IFS(Table1_1[[#This Row],[Load_Factor_%]]&lt;60,"Low",Table1_1[[#This Row],[Load_Factor_%]]&lt;85,"Intermediate",Table1_1[[#This Row],[Load_Factor_%]]&gt;=85,"High")</f>
        <v>Intermediate</v>
      </c>
      <c r="M283" s="4">
        <v>859316</v>
      </c>
      <c r="N283" s="4">
        <v>40106</v>
      </c>
      <c r="O283" s="4">
        <f>SUM(Table1_1[[#This Row],[Ticket_Revenue_INR]:[Cargo_Revenue_INR]])</f>
        <v>899422</v>
      </c>
      <c r="P283" s="4">
        <v>652551</v>
      </c>
      <c r="Q283" s="4">
        <v>1131374</v>
      </c>
      <c r="R283" s="4">
        <f>SUM(Table1_1[[#This Row],[Fuel_Cost_INR]:[Operating_Cost_INR]])</f>
        <v>1783925</v>
      </c>
      <c r="S283" s="4">
        <f>Table1_1[[#This Row],[Total_Revenue]]-Table1_1[[#This Row],[Total_Cost]]</f>
        <v>-884503</v>
      </c>
      <c r="T283" s="9">
        <f>(Table1_1[[#This Row],[Total_Profit]]/Table1_1[[#This Row],[Total_Revenue]])</f>
        <v>-0.98341268058819997</v>
      </c>
      <c r="U283" s="5">
        <v>52</v>
      </c>
      <c r="V283" s="6" t="s">
        <v>18</v>
      </c>
      <c r="W283" s="8">
        <v>3.4</v>
      </c>
      <c r="X283" t="str" cm="1">
        <f t="array" ref="X283">_xlfn.IFS(Table1_1[[#This Row],[Customer_Rating]]&lt;3,"Poor",Table1_1[[#This Row],[Customer_Rating]]&lt;4,"Good",Table1_1[[#This Row],[Customer_Rating]]&gt;=4,"Excellent")</f>
        <v>Good</v>
      </c>
    </row>
    <row r="284" spans="1:24" x14ac:dyDescent="0.35">
      <c r="A284" s="2" t="s">
        <v>511</v>
      </c>
      <c r="B284" s="3">
        <v>45961</v>
      </c>
      <c r="C284" s="3" t="str">
        <f>TEXT(Table1_1[[#This Row],[Date]],"YYYY")</f>
        <v>2025</v>
      </c>
      <c r="D284" s="3" t="str">
        <f>TEXT(Table1_1[[#This Row],[Date]],"mmm")</f>
        <v>Oct</v>
      </c>
      <c r="E284" s="2" t="s">
        <v>29</v>
      </c>
      <c r="F284" s="2" t="str">
        <f>INDEX(IndiGo_Flight_Data!$R$2:$R$11,MATCH(Table1_1[[#This Row],[Route]],_xlfn.ANCHORARRAY(IndiGo_Flight_Data!$Q$2),0))</f>
        <v>Calacatta - Delhi</v>
      </c>
      <c r="G284" s="2" t="s">
        <v>17</v>
      </c>
      <c r="H284">
        <v>65</v>
      </c>
      <c r="I284">
        <v>78</v>
      </c>
      <c r="J284">
        <f>Table1_1[[#This Row],[Seat_Capacity]]-Table1_1[[#This Row],[Passengers]]</f>
        <v>13</v>
      </c>
      <c r="K284">
        <v>83.33</v>
      </c>
      <c r="L284" t="str" cm="1">
        <f t="array" ref="L284">_xlfn.IFS(Table1_1[[#This Row],[Load_Factor_%]]&lt;60,"Low",Table1_1[[#This Row],[Load_Factor_%]]&lt;85,"Intermediate",Table1_1[[#This Row],[Load_Factor_%]]&gt;=85,"High")</f>
        <v>Intermediate</v>
      </c>
      <c r="M284" s="4">
        <v>541884</v>
      </c>
      <c r="N284" s="4">
        <v>81141</v>
      </c>
      <c r="O284" s="4">
        <f>SUM(Table1_1[[#This Row],[Ticket_Revenue_INR]:[Cargo_Revenue_INR]])</f>
        <v>623025</v>
      </c>
      <c r="P284" s="4">
        <v>338305</v>
      </c>
      <c r="Q284" s="4">
        <v>677184</v>
      </c>
      <c r="R284" s="4">
        <f>SUM(Table1_1[[#This Row],[Fuel_Cost_INR]:[Operating_Cost_INR]])</f>
        <v>1015489</v>
      </c>
      <c r="S284" s="4">
        <f>Table1_1[[#This Row],[Total_Revenue]]-Table1_1[[#This Row],[Total_Cost]]</f>
        <v>-392464</v>
      </c>
      <c r="T284" s="9">
        <f>(Table1_1[[#This Row],[Total_Profit]]/Table1_1[[#This Row],[Total_Revenue]])</f>
        <v>-0.62993298824284738</v>
      </c>
      <c r="U284" s="5">
        <v>18</v>
      </c>
      <c r="V284" s="6" t="s">
        <v>18</v>
      </c>
      <c r="W284" s="8">
        <v>3.2</v>
      </c>
      <c r="X284" t="str" cm="1">
        <f t="array" ref="X284">_xlfn.IFS(Table1_1[[#This Row],[Customer_Rating]]&lt;3,"Poor",Table1_1[[#This Row],[Customer_Rating]]&lt;4,"Good",Table1_1[[#This Row],[Customer_Rating]]&gt;=4,"Excellent")</f>
        <v>Good</v>
      </c>
    </row>
    <row r="285" spans="1:24" x14ac:dyDescent="0.35">
      <c r="A285" s="2" t="s">
        <v>513</v>
      </c>
      <c r="B285" s="3">
        <v>45794</v>
      </c>
      <c r="C285" s="3" t="str">
        <f>TEXT(Table1_1[[#This Row],[Date]],"YYYY")</f>
        <v>2025</v>
      </c>
      <c r="D285" s="3" t="str">
        <f>TEXT(Table1_1[[#This Row],[Date]],"mmm")</f>
        <v>May</v>
      </c>
      <c r="E285" s="2" t="s">
        <v>32</v>
      </c>
      <c r="F285" s="2" t="str">
        <f>INDEX(IndiGo_Flight_Data!$R$2:$R$11,MATCH(Table1_1[[#This Row],[Route]],_xlfn.ANCHORARRAY(IndiGo_Flight_Data!$Q$2),0))</f>
        <v>Bengaluru - Cochin</v>
      </c>
      <c r="G285" s="2" t="s">
        <v>24</v>
      </c>
      <c r="H285">
        <v>161</v>
      </c>
      <c r="I285">
        <v>180</v>
      </c>
      <c r="J285">
        <f>Table1_1[[#This Row],[Seat_Capacity]]-Table1_1[[#This Row],[Passengers]]</f>
        <v>19</v>
      </c>
      <c r="K285">
        <v>89.44</v>
      </c>
      <c r="L285" t="str" cm="1">
        <f t="array" ref="L285">_xlfn.IFS(Table1_1[[#This Row],[Load_Factor_%]]&lt;60,"Low",Table1_1[[#This Row],[Load_Factor_%]]&lt;85,"Intermediate",Table1_1[[#This Row],[Load_Factor_%]]&gt;=85,"High")</f>
        <v>High</v>
      </c>
      <c r="M285" s="4">
        <v>946318</v>
      </c>
      <c r="N285" s="4">
        <v>34087</v>
      </c>
      <c r="O285" s="4">
        <f>SUM(Table1_1[[#This Row],[Ticket_Revenue_INR]:[Cargo_Revenue_INR]])</f>
        <v>980405</v>
      </c>
      <c r="P285" s="4">
        <v>406549</v>
      </c>
      <c r="Q285" s="4">
        <v>587342</v>
      </c>
      <c r="R285" s="4">
        <f>SUM(Table1_1[[#This Row],[Fuel_Cost_INR]:[Operating_Cost_INR]])</f>
        <v>993891</v>
      </c>
      <c r="S285" s="4">
        <f>Table1_1[[#This Row],[Total_Revenue]]-Table1_1[[#This Row],[Total_Cost]]</f>
        <v>-13486</v>
      </c>
      <c r="T285" s="9">
        <f>(Table1_1[[#This Row],[Total_Profit]]/Table1_1[[#This Row],[Total_Revenue]])</f>
        <v>-1.3755539802428588E-2</v>
      </c>
      <c r="U285" s="5">
        <v>73</v>
      </c>
      <c r="V285" s="6" t="s">
        <v>18</v>
      </c>
      <c r="W285" s="8">
        <v>4.7</v>
      </c>
      <c r="X285" t="str" cm="1">
        <f t="array" ref="X285">_xlfn.IFS(Table1_1[[#This Row],[Customer_Rating]]&lt;3,"Poor",Table1_1[[#This Row],[Customer_Rating]]&lt;4,"Good",Table1_1[[#This Row],[Customer_Rating]]&gt;=4,"Excellent")</f>
        <v>Excellent</v>
      </c>
    </row>
    <row r="286" spans="1:24" x14ac:dyDescent="0.35">
      <c r="A286" s="2" t="s">
        <v>514</v>
      </c>
      <c r="B286" s="3">
        <v>45663</v>
      </c>
      <c r="C286" s="3" t="str">
        <f>TEXT(Table1_1[[#This Row],[Date]],"YYYY")</f>
        <v>2025</v>
      </c>
      <c r="D286" s="3" t="str">
        <f>TEXT(Table1_1[[#This Row],[Date]],"mmm")</f>
        <v>Jan</v>
      </c>
      <c r="E286" s="2" t="s">
        <v>76</v>
      </c>
      <c r="F286" s="2" t="str">
        <f>INDEX(IndiGo_Flight_Data!$R$2:$R$11,MATCH(Table1_1[[#This Row],[Route]],_xlfn.ANCHORARRAY(IndiGo_Flight_Data!$Q$2),0))</f>
        <v>Madras - Delhi</v>
      </c>
      <c r="G286" s="2" t="s">
        <v>43</v>
      </c>
      <c r="H286">
        <v>151</v>
      </c>
      <c r="I286">
        <v>232</v>
      </c>
      <c r="J286">
        <f>Table1_1[[#This Row],[Seat_Capacity]]-Table1_1[[#This Row],[Passengers]]</f>
        <v>81</v>
      </c>
      <c r="K286">
        <v>65.09</v>
      </c>
      <c r="L286" t="str" cm="1">
        <f t="array" ref="L286">_xlfn.IFS(Table1_1[[#This Row],[Load_Factor_%]]&lt;60,"Low",Table1_1[[#This Row],[Load_Factor_%]]&lt;85,"Intermediate",Table1_1[[#This Row],[Load_Factor_%]]&gt;=85,"High")</f>
        <v>Intermediate</v>
      </c>
      <c r="M286" s="4">
        <v>857332</v>
      </c>
      <c r="N286" s="4">
        <v>115100</v>
      </c>
      <c r="O286" s="4">
        <f>SUM(Table1_1[[#This Row],[Ticket_Revenue_INR]:[Cargo_Revenue_INR]])</f>
        <v>972432</v>
      </c>
      <c r="P286" s="4">
        <v>817284</v>
      </c>
      <c r="Q286" s="4">
        <v>1351920</v>
      </c>
      <c r="R286" s="4">
        <f>SUM(Table1_1[[#This Row],[Fuel_Cost_INR]:[Operating_Cost_INR]])</f>
        <v>2169204</v>
      </c>
      <c r="S286" s="4">
        <f>Table1_1[[#This Row],[Total_Revenue]]-Table1_1[[#This Row],[Total_Cost]]</f>
        <v>-1196772</v>
      </c>
      <c r="T286" s="9">
        <f>(Table1_1[[#This Row],[Total_Profit]]/Table1_1[[#This Row],[Total_Revenue]])</f>
        <v>-1.2306999358309887</v>
      </c>
      <c r="U286" s="5">
        <v>63</v>
      </c>
      <c r="V286" s="6" t="s">
        <v>18</v>
      </c>
      <c r="W286" s="8">
        <v>3.3</v>
      </c>
      <c r="X286" t="str" cm="1">
        <f t="array" ref="X286">_xlfn.IFS(Table1_1[[#This Row],[Customer_Rating]]&lt;3,"Poor",Table1_1[[#This Row],[Customer_Rating]]&lt;4,"Good",Table1_1[[#This Row],[Customer_Rating]]&gt;=4,"Excellent")</f>
        <v>Good</v>
      </c>
    </row>
    <row r="287" spans="1:24" x14ac:dyDescent="0.35">
      <c r="A287" s="2" t="s">
        <v>516</v>
      </c>
      <c r="B287" s="3">
        <v>45918</v>
      </c>
      <c r="C287" s="3" t="str">
        <f>TEXT(Table1_1[[#This Row],[Date]],"YYYY")</f>
        <v>2025</v>
      </c>
      <c r="D287" s="3" t="str">
        <f>TEXT(Table1_1[[#This Row],[Date]],"mmm")</f>
        <v>Sep</v>
      </c>
      <c r="E287" s="2" t="s">
        <v>16</v>
      </c>
      <c r="F287" s="2" t="str">
        <f>INDEX(IndiGo_Flight_Data!$R$2:$R$11,MATCH(Table1_1[[#This Row],[Route]],_xlfn.ANCHORARRAY(IndiGo_Flight_Data!$Q$2),0))</f>
        <v>Delhi - Goa</v>
      </c>
      <c r="G287" s="2" t="s">
        <v>17</v>
      </c>
      <c r="H287">
        <v>65</v>
      </c>
      <c r="I287">
        <v>78</v>
      </c>
      <c r="J287">
        <f>Table1_1[[#This Row],[Seat_Capacity]]-Table1_1[[#This Row],[Passengers]]</f>
        <v>13</v>
      </c>
      <c r="K287">
        <v>83.33</v>
      </c>
      <c r="L287" t="str" cm="1">
        <f t="array" ref="L287">_xlfn.IFS(Table1_1[[#This Row],[Load_Factor_%]]&lt;60,"Low",Table1_1[[#This Row],[Load_Factor_%]]&lt;85,"Intermediate",Table1_1[[#This Row],[Load_Factor_%]]&gt;=85,"High")</f>
        <v>Intermediate</v>
      </c>
      <c r="M287" s="4">
        <v>551863</v>
      </c>
      <c r="N287" s="4">
        <v>127609</v>
      </c>
      <c r="O287" s="4">
        <f>SUM(Table1_1[[#This Row],[Ticket_Revenue_INR]:[Cargo_Revenue_INR]])</f>
        <v>679472</v>
      </c>
      <c r="P287" s="4">
        <v>876626</v>
      </c>
      <c r="Q287" s="4">
        <v>1225884</v>
      </c>
      <c r="R287" s="4">
        <f>SUM(Table1_1[[#This Row],[Fuel_Cost_INR]:[Operating_Cost_INR]])</f>
        <v>2102510</v>
      </c>
      <c r="S287" s="4">
        <f>Table1_1[[#This Row],[Total_Revenue]]-Table1_1[[#This Row],[Total_Cost]]</f>
        <v>-1423038</v>
      </c>
      <c r="T287" s="9">
        <f>(Table1_1[[#This Row],[Total_Profit]]/Table1_1[[#This Row],[Total_Revenue]])</f>
        <v>-2.0943291261450065</v>
      </c>
      <c r="U287" s="5">
        <v>46</v>
      </c>
      <c r="V287" s="6" t="s">
        <v>18</v>
      </c>
      <c r="W287" s="8">
        <v>3.8</v>
      </c>
      <c r="X287" t="str" cm="1">
        <f t="array" ref="X287">_xlfn.IFS(Table1_1[[#This Row],[Customer_Rating]]&lt;3,"Poor",Table1_1[[#This Row],[Customer_Rating]]&lt;4,"Good",Table1_1[[#This Row],[Customer_Rating]]&gt;=4,"Excellent")</f>
        <v>Good</v>
      </c>
    </row>
    <row r="288" spans="1:24" x14ac:dyDescent="0.35">
      <c r="A288" s="2" t="s">
        <v>518</v>
      </c>
      <c r="B288" s="3">
        <v>45907</v>
      </c>
      <c r="C288" s="3" t="str">
        <f>TEXT(Table1_1[[#This Row],[Date]],"YYYY")</f>
        <v>2025</v>
      </c>
      <c r="D288" s="3" t="str">
        <f>TEXT(Table1_1[[#This Row],[Date]],"mmm")</f>
        <v>Sep</v>
      </c>
      <c r="E288" s="2" t="s">
        <v>32</v>
      </c>
      <c r="F288" s="2" t="str">
        <f>INDEX(IndiGo_Flight_Data!$R$2:$R$11,MATCH(Table1_1[[#This Row],[Route]],_xlfn.ANCHORARRAY(IndiGo_Flight_Data!$Q$2),0))</f>
        <v>Bengaluru - Cochin</v>
      </c>
      <c r="G288" s="2" t="s">
        <v>17</v>
      </c>
      <c r="H288">
        <v>61</v>
      </c>
      <c r="I288">
        <v>78</v>
      </c>
      <c r="J288">
        <f>Table1_1[[#This Row],[Seat_Capacity]]-Table1_1[[#This Row],[Passengers]]</f>
        <v>17</v>
      </c>
      <c r="K288">
        <v>78.209999999999994</v>
      </c>
      <c r="L288" t="str" cm="1">
        <f t="array" ref="L288">_xlfn.IFS(Table1_1[[#This Row],[Load_Factor_%]]&lt;60,"Low",Table1_1[[#This Row],[Load_Factor_%]]&lt;85,"Intermediate",Table1_1[[#This Row],[Load_Factor_%]]&gt;=85,"High")</f>
        <v>Intermediate</v>
      </c>
      <c r="M288" s="4">
        <v>337402</v>
      </c>
      <c r="N288" s="4">
        <v>38927</v>
      </c>
      <c r="O288" s="4">
        <f>SUM(Table1_1[[#This Row],[Ticket_Revenue_INR]:[Cargo_Revenue_INR]])</f>
        <v>376329</v>
      </c>
      <c r="P288" s="4">
        <v>954055</v>
      </c>
      <c r="Q288" s="4">
        <v>1579976</v>
      </c>
      <c r="R288" s="4">
        <f>SUM(Table1_1[[#This Row],[Fuel_Cost_INR]:[Operating_Cost_INR]])</f>
        <v>2534031</v>
      </c>
      <c r="S288" s="4">
        <f>Table1_1[[#This Row],[Total_Revenue]]-Table1_1[[#This Row],[Total_Cost]]</f>
        <v>-2157702</v>
      </c>
      <c r="T288" s="9">
        <f>(Table1_1[[#This Row],[Total_Profit]]/Table1_1[[#This Row],[Total_Revenue]])</f>
        <v>-5.7335522906818239</v>
      </c>
      <c r="U288" s="5">
        <v>53</v>
      </c>
      <c r="V288" s="6" t="s">
        <v>18</v>
      </c>
      <c r="W288" s="8">
        <v>3.6</v>
      </c>
      <c r="X288" t="str" cm="1">
        <f t="array" ref="X288">_xlfn.IFS(Table1_1[[#This Row],[Customer_Rating]]&lt;3,"Poor",Table1_1[[#This Row],[Customer_Rating]]&lt;4,"Good",Table1_1[[#This Row],[Customer_Rating]]&gt;=4,"Excellent")</f>
        <v>Good</v>
      </c>
    </row>
    <row r="289" spans="1:24" x14ac:dyDescent="0.35">
      <c r="A289" s="2" t="s">
        <v>519</v>
      </c>
      <c r="B289" s="3">
        <v>45856</v>
      </c>
      <c r="C289" s="3" t="str">
        <f>TEXT(Table1_1[[#This Row],[Date]],"YYYY")</f>
        <v>2025</v>
      </c>
      <c r="D289" s="3" t="str">
        <f>TEXT(Table1_1[[#This Row],[Date]],"mmm")</f>
        <v>Jul</v>
      </c>
      <c r="E289" s="2" t="s">
        <v>42</v>
      </c>
      <c r="F289" s="2" t="str">
        <f>INDEX(IndiGo_Flight_Data!$R$2:$R$11,MATCH(Table1_1[[#This Row],[Route]],_xlfn.ANCHORARRAY(IndiGo_Flight_Data!$Q$2),0))</f>
        <v>Bombay - Hyderabad</v>
      </c>
      <c r="G289" s="2" t="s">
        <v>17</v>
      </c>
      <c r="H289">
        <v>63</v>
      </c>
      <c r="I289">
        <v>78</v>
      </c>
      <c r="J289">
        <f>Table1_1[[#This Row],[Seat_Capacity]]-Table1_1[[#This Row],[Passengers]]</f>
        <v>15</v>
      </c>
      <c r="K289">
        <v>80.77</v>
      </c>
      <c r="L289" t="str" cm="1">
        <f t="array" ref="L289">_xlfn.IFS(Table1_1[[#This Row],[Load_Factor_%]]&lt;60,"Low",Table1_1[[#This Row],[Load_Factor_%]]&lt;85,"Intermediate",Table1_1[[#This Row],[Load_Factor_%]]&gt;=85,"High")</f>
        <v>Intermediate</v>
      </c>
      <c r="M289" s="4">
        <v>356860</v>
      </c>
      <c r="N289" s="4">
        <v>103364</v>
      </c>
      <c r="O289" s="4">
        <f>SUM(Table1_1[[#This Row],[Ticket_Revenue_INR]:[Cargo_Revenue_INR]])</f>
        <v>460224</v>
      </c>
      <c r="P289" s="4">
        <v>1009762</v>
      </c>
      <c r="Q289" s="4">
        <v>1532171</v>
      </c>
      <c r="R289" s="4">
        <f>SUM(Table1_1[[#This Row],[Fuel_Cost_INR]:[Operating_Cost_INR]])</f>
        <v>2541933</v>
      </c>
      <c r="S289" s="4">
        <f>Table1_1[[#This Row],[Total_Revenue]]-Table1_1[[#This Row],[Total_Cost]]</f>
        <v>-2081709</v>
      </c>
      <c r="T289" s="9">
        <f>(Table1_1[[#This Row],[Total_Profit]]/Table1_1[[#This Row],[Total_Revenue]])</f>
        <v>-4.5232517209011265</v>
      </c>
      <c r="U289" s="5">
        <v>75</v>
      </c>
      <c r="V289" s="6" t="s">
        <v>18</v>
      </c>
      <c r="W289" s="8">
        <v>4</v>
      </c>
      <c r="X289" t="str" cm="1">
        <f t="array" ref="X289">_xlfn.IFS(Table1_1[[#This Row],[Customer_Rating]]&lt;3,"Poor",Table1_1[[#This Row],[Customer_Rating]]&lt;4,"Good",Table1_1[[#This Row],[Customer_Rating]]&gt;=4,"Excellent")</f>
        <v>Excellent</v>
      </c>
    </row>
    <row r="290" spans="1:24" x14ac:dyDescent="0.35">
      <c r="A290" s="2" t="s">
        <v>520</v>
      </c>
      <c r="B290" s="3">
        <v>45818</v>
      </c>
      <c r="C290" s="3" t="str">
        <f>TEXT(Table1_1[[#This Row],[Date]],"YYYY")</f>
        <v>2025</v>
      </c>
      <c r="D290" s="3" t="str">
        <f>TEXT(Table1_1[[#This Row],[Date]],"mmm")</f>
        <v>Jun</v>
      </c>
      <c r="E290" s="2" t="s">
        <v>76</v>
      </c>
      <c r="F290" s="2" t="str">
        <f>INDEX(IndiGo_Flight_Data!$R$2:$R$11,MATCH(Table1_1[[#This Row],[Route]],_xlfn.ANCHORARRAY(IndiGo_Flight_Data!$Q$2),0))</f>
        <v>Madras - Delhi</v>
      </c>
      <c r="G290" s="2" t="s">
        <v>24</v>
      </c>
      <c r="H290">
        <v>134</v>
      </c>
      <c r="I290">
        <v>180</v>
      </c>
      <c r="J290">
        <f>Table1_1[[#This Row],[Seat_Capacity]]-Table1_1[[#This Row],[Passengers]]</f>
        <v>46</v>
      </c>
      <c r="K290">
        <v>74.44</v>
      </c>
      <c r="L290" t="str" cm="1">
        <f t="array" ref="L290">_xlfn.IFS(Table1_1[[#This Row],[Load_Factor_%]]&lt;60,"Low",Table1_1[[#This Row],[Load_Factor_%]]&lt;85,"Intermediate",Table1_1[[#This Row],[Load_Factor_%]]&gt;=85,"High")</f>
        <v>Intermediate</v>
      </c>
      <c r="M290" s="4">
        <v>1064842</v>
      </c>
      <c r="N290" s="4">
        <v>56248</v>
      </c>
      <c r="O290" s="4">
        <f>SUM(Table1_1[[#This Row],[Ticket_Revenue_INR]:[Cargo_Revenue_INR]])</f>
        <v>1121090</v>
      </c>
      <c r="P290" s="4">
        <v>562833</v>
      </c>
      <c r="Q290" s="4">
        <v>1142916</v>
      </c>
      <c r="R290" s="4">
        <f>SUM(Table1_1[[#This Row],[Fuel_Cost_INR]:[Operating_Cost_INR]])</f>
        <v>1705749</v>
      </c>
      <c r="S290" s="4">
        <f>Table1_1[[#This Row],[Total_Revenue]]-Table1_1[[#This Row],[Total_Cost]]</f>
        <v>-584659</v>
      </c>
      <c r="T290" s="9">
        <f>(Table1_1[[#This Row],[Total_Profit]]/Table1_1[[#This Row],[Total_Revenue]])</f>
        <v>-0.5215094238642749</v>
      </c>
      <c r="U290" s="5">
        <v>38</v>
      </c>
      <c r="V290" s="6" t="s">
        <v>18</v>
      </c>
      <c r="W290" s="8">
        <v>4.5999999999999996</v>
      </c>
      <c r="X290" t="str" cm="1">
        <f t="array" ref="X290">_xlfn.IFS(Table1_1[[#This Row],[Customer_Rating]]&lt;3,"Poor",Table1_1[[#This Row],[Customer_Rating]]&lt;4,"Good",Table1_1[[#This Row],[Customer_Rating]]&gt;=4,"Excellent")</f>
        <v>Excellent</v>
      </c>
    </row>
    <row r="291" spans="1:24" x14ac:dyDescent="0.35">
      <c r="A291" s="2" t="s">
        <v>521</v>
      </c>
      <c r="B291" s="3">
        <v>45824</v>
      </c>
      <c r="C291" s="3" t="str">
        <f>TEXT(Table1_1[[#This Row],[Date]],"YYYY")</f>
        <v>2025</v>
      </c>
      <c r="D291" s="3" t="str">
        <f>TEXT(Table1_1[[#This Row],[Date]],"mmm")</f>
        <v>Jun</v>
      </c>
      <c r="E291" s="2" t="s">
        <v>117</v>
      </c>
      <c r="F291" s="2" t="str">
        <f>INDEX(IndiGo_Flight_Data!$R$2:$R$11,MATCH(Table1_1[[#This Row],[Route]],_xlfn.ANCHORARRAY(IndiGo_Flight_Data!$Q$2),0))</f>
        <v>Bengaluru - Calacatta</v>
      </c>
      <c r="G291" s="2" t="s">
        <v>24</v>
      </c>
      <c r="H291">
        <v>165</v>
      </c>
      <c r="I291">
        <v>180</v>
      </c>
      <c r="J291">
        <f>Table1_1[[#This Row],[Seat_Capacity]]-Table1_1[[#This Row],[Passengers]]</f>
        <v>15</v>
      </c>
      <c r="K291">
        <v>91.67</v>
      </c>
      <c r="L291" t="str" cm="1">
        <f t="array" ref="L291">_xlfn.IFS(Table1_1[[#This Row],[Load_Factor_%]]&lt;60,"Low",Table1_1[[#This Row],[Load_Factor_%]]&lt;85,"Intermediate",Table1_1[[#This Row],[Load_Factor_%]]&gt;=85,"High")</f>
        <v>High</v>
      </c>
      <c r="M291" s="4">
        <v>838320</v>
      </c>
      <c r="N291" s="4">
        <v>133660</v>
      </c>
      <c r="O291" s="4">
        <f>SUM(Table1_1[[#This Row],[Ticket_Revenue_INR]:[Cargo_Revenue_INR]])</f>
        <v>971980</v>
      </c>
      <c r="P291" s="4">
        <v>685472</v>
      </c>
      <c r="Q291" s="4">
        <v>1250514</v>
      </c>
      <c r="R291" s="4">
        <f>SUM(Table1_1[[#This Row],[Fuel_Cost_INR]:[Operating_Cost_INR]])</f>
        <v>1935986</v>
      </c>
      <c r="S291" s="4">
        <f>Table1_1[[#This Row],[Total_Revenue]]-Table1_1[[#This Row],[Total_Cost]]</f>
        <v>-964006</v>
      </c>
      <c r="T291" s="9">
        <f>(Table1_1[[#This Row],[Total_Profit]]/Table1_1[[#This Row],[Total_Revenue]])</f>
        <v>-0.99179612749233526</v>
      </c>
      <c r="U291" s="5">
        <v>55</v>
      </c>
      <c r="V291" s="6" t="s">
        <v>18</v>
      </c>
      <c r="W291" s="8">
        <v>4.3</v>
      </c>
      <c r="X291" t="str" cm="1">
        <f t="array" ref="X291">_xlfn.IFS(Table1_1[[#This Row],[Customer_Rating]]&lt;3,"Poor",Table1_1[[#This Row],[Customer_Rating]]&lt;4,"Good",Table1_1[[#This Row],[Customer_Rating]]&gt;=4,"Excellent")</f>
        <v>Excellent</v>
      </c>
    </row>
    <row r="292" spans="1:24" x14ac:dyDescent="0.35">
      <c r="A292" s="2" t="s">
        <v>523</v>
      </c>
      <c r="B292" s="3">
        <v>45776</v>
      </c>
      <c r="C292" s="3" t="str">
        <f>TEXT(Table1_1[[#This Row],[Date]],"YYYY")</f>
        <v>2025</v>
      </c>
      <c r="D292" s="3" t="str">
        <f>TEXT(Table1_1[[#This Row],[Date]],"mmm")</f>
        <v>Apr</v>
      </c>
      <c r="E292" s="2" t="s">
        <v>39</v>
      </c>
      <c r="F292" s="2" t="str">
        <f>INDEX(IndiGo_Flight_Data!$R$2:$R$11,MATCH(Table1_1[[#This Row],[Route]],_xlfn.ANCHORARRAY(IndiGo_Flight_Data!$Q$2),0))</f>
        <v>Bengaluru - Delhi</v>
      </c>
      <c r="G292" s="2" t="s">
        <v>24</v>
      </c>
      <c r="H292">
        <v>141</v>
      </c>
      <c r="I292">
        <v>180</v>
      </c>
      <c r="J292">
        <f>Table1_1[[#This Row],[Seat_Capacity]]-Table1_1[[#This Row],[Passengers]]</f>
        <v>39</v>
      </c>
      <c r="K292">
        <v>78.33</v>
      </c>
      <c r="L292" t="str" cm="1">
        <f t="array" ref="L292">_xlfn.IFS(Table1_1[[#This Row],[Load_Factor_%]]&lt;60,"Low",Table1_1[[#This Row],[Load_Factor_%]]&lt;85,"Intermediate",Table1_1[[#This Row],[Load_Factor_%]]&gt;=85,"High")</f>
        <v>Intermediate</v>
      </c>
      <c r="M292" s="4">
        <v>1034045</v>
      </c>
      <c r="N292" s="4">
        <v>66695</v>
      </c>
      <c r="O292" s="4">
        <f>SUM(Table1_1[[#This Row],[Ticket_Revenue_INR]:[Cargo_Revenue_INR]])</f>
        <v>1100740</v>
      </c>
      <c r="P292" s="4">
        <v>1081665</v>
      </c>
      <c r="Q292" s="4">
        <v>1466899</v>
      </c>
      <c r="R292" s="4">
        <f>SUM(Table1_1[[#This Row],[Fuel_Cost_INR]:[Operating_Cost_INR]])</f>
        <v>2548564</v>
      </c>
      <c r="S292" s="4">
        <f>Table1_1[[#This Row],[Total_Revenue]]-Table1_1[[#This Row],[Total_Cost]]</f>
        <v>-1447824</v>
      </c>
      <c r="T292" s="9">
        <f>(Table1_1[[#This Row],[Total_Profit]]/Table1_1[[#This Row],[Total_Revenue]])</f>
        <v>-1.3153187855442703</v>
      </c>
      <c r="U292" s="5">
        <v>80</v>
      </c>
      <c r="V292" s="6" t="s">
        <v>18</v>
      </c>
      <c r="W292" s="8">
        <v>4.7</v>
      </c>
      <c r="X292" t="str" cm="1">
        <f t="array" ref="X292">_xlfn.IFS(Table1_1[[#This Row],[Customer_Rating]]&lt;3,"Poor",Table1_1[[#This Row],[Customer_Rating]]&lt;4,"Good",Table1_1[[#This Row],[Customer_Rating]]&gt;=4,"Excellent")</f>
        <v>Excellent</v>
      </c>
    </row>
    <row r="293" spans="1:24" x14ac:dyDescent="0.35">
      <c r="A293" s="2" t="s">
        <v>525</v>
      </c>
      <c r="B293" s="3">
        <v>45703</v>
      </c>
      <c r="C293" s="3" t="str">
        <f>TEXT(Table1_1[[#This Row],[Date]],"YYYY")</f>
        <v>2025</v>
      </c>
      <c r="D293" s="3" t="str">
        <f>TEXT(Table1_1[[#This Row],[Date]],"mmm")</f>
        <v>Feb</v>
      </c>
      <c r="E293" s="2" t="s">
        <v>59</v>
      </c>
      <c r="F293" s="2" t="str">
        <f>INDEX(IndiGo_Flight_Data!$R$2:$R$11,MATCH(Table1_1[[#This Row],[Route]],_xlfn.ANCHORARRAY(IndiGo_Flight_Data!$Q$2),0))</f>
        <v>Bengaluru - Bombay</v>
      </c>
      <c r="G293" s="2" t="s">
        <v>43</v>
      </c>
      <c r="H293">
        <v>143</v>
      </c>
      <c r="I293">
        <v>232</v>
      </c>
      <c r="J293">
        <f>Table1_1[[#This Row],[Seat_Capacity]]-Table1_1[[#This Row],[Passengers]]</f>
        <v>89</v>
      </c>
      <c r="K293">
        <v>61.64</v>
      </c>
      <c r="L293" t="str" cm="1">
        <f t="array" ref="L293">_xlfn.IFS(Table1_1[[#This Row],[Load_Factor_%]]&lt;60,"Low",Table1_1[[#This Row],[Load_Factor_%]]&lt;85,"Intermediate",Table1_1[[#This Row],[Load_Factor_%]]&gt;=85,"High")</f>
        <v>Intermediate</v>
      </c>
      <c r="M293" s="4">
        <v>1025925</v>
      </c>
      <c r="N293" s="4">
        <v>43615</v>
      </c>
      <c r="O293" s="4">
        <f>SUM(Table1_1[[#This Row],[Ticket_Revenue_INR]:[Cargo_Revenue_INR]])</f>
        <v>1069540</v>
      </c>
      <c r="P293" s="4">
        <v>422462</v>
      </c>
      <c r="Q293" s="4">
        <v>968904</v>
      </c>
      <c r="R293" s="4">
        <f>SUM(Table1_1[[#This Row],[Fuel_Cost_INR]:[Operating_Cost_INR]])</f>
        <v>1391366</v>
      </c>
      <c r="S293" s="4">
        <f>Table1_1[[#This Row],[Total_Revenue]]-Table1_1[[#This Row],[Total_Cost]]</f>
        <v>-321826</v>
      </c>
      <c r="T293" s="9">
        <f>(Table1_1[[#This Row],[Total_Profit]]/Table1_1[[#This Row],[Total_Revenue]])</f>
        <v>-0.30090132206369091</v>
      </c>
      <c r="U293" s="5">
        <v>29</v>
      </c>
      <c r="V293" s="6" t="s">
        <v>18</v>
      </c>
      <c r="W293" s="8">
        <v>3.4</v>
      </c>
      <c r="X293" t="str" cm="1">
        <f t="array" ref="X293">_xlfn.IFS(Table1_1[[#This Row],[Customer_Rating]]&lt;3,"Poor",Table1_1[[#This Row],[Customer_Rating]]&lt;4,"Good",Table1_1[[#This Row],[Customer_Rating]]&gt;=4,"Excellent")</f>
        <v>Good</v>
      </c>
    </row>
    <row r="294" spans="1:24" x14ac:dyDescent="0.35">
      <c r="A294" s="2" t="s">
        <v>527</v>
      </c>
      <c r="B294" s="3">
        <v>45959</v>
      </c>
      <c r="C294" s="3" t="str">
        <f>TEXT(Table1_1[[#This Row],[Date]],"YYYY")</f>
        <v>2025</v>
      </c>
      <c r="D294" s="3" t="str">
        <f>TEXT(Table1_1[[#This Row],[Date]],"mmm")</f>
        <v>Oct</v>
      </c>
      <c r="E294" s="2" t="s">
        <v>117</v>
      </c>
      <c r="F294" s="2" t="str">
        <f>INDEX(IndiGo_Flight_Data!$R$2:$R$11,MATCH(Table1_1[[#This Row],[Route]],_xlfn.ANCHORARRAY(IndiGo_Flight_Data!$Q$2),0))</f>
        <v>Bengaluru - Calacatta</v>
      </c>
      <c r="G294" s="2" t="s">
        <v>24</v>
      </c>
      <c r="H294">
        <v>148</v>
      </c>
      <c r="I294">
        <v>180</v>
      </c>
      <c r="J294">
        <f>Table1_1[[#This Row],[Seat_Capacity]]-Table1_1[[#This Row],[Passengers]]</f>
        <v>32</v>
      </c>
      <c r="K294">
        <v>82.22</v>
      </c>
      <c r="L294" t="str" cm="1">
        <f t="array" ref="L294">_xlfn.IFS(Table1_1[[#This Row],[Load_Factor_%]]&lt;60,"Low",Table1_1[[#This Row],[Load_Factor_%]]&lt;85,"Intermediate",Table1_1[[#This Row],[Load_Factor_%]]&gt;=85,"High")</f>
        <v>Intermediate</v>
      </c>
      <c r="M294" s="4">
        <v>542413</v>
      </c>
      <c r="N294" s="4">
        <v>149142</v>
      </c>
      <c r="O294" s="4">
        <f>SUM(Table1_1[[#This Row],[Ticket_Revenue_INR]:[Cargo_Revenue_INR]])</f>
        <v>691555</v>
      </c>
      <c r="P294" s="4">
        <v>555580</v>
      </c>
      <c r="Q294" s="4">
        <v>968900</v>
      </c>
      <c r="R294" s="4">
        <f>SUM(Table1_1[[#This Row],[Fuel_Cost_INR]:[Operating_Cost_INR]])</f>
        <v>1524480</v>
      </c>
      <c r="S294" s="4">
        <f>Table1_1[[#This Row],[Total_Revenue]]-Table1_1[[#This Row],[Total_Cost]]</f>
        <v>-832925</v>
      </c>
      <c r="T294" s="9">
        <f>(Table1_1[[#This Row],[Total_Profit]]/Table1_1[[#This Row],[Total_Revenue]])</f>
        <v>-1.2044233647359934</v>
      </c>
      <c r="U294" s="5">
        <v>5</v>
      </c>
      <c r="V294" s="6" t="s">
        <v>33</v>
      </c>
      <c r="W294" s="8">
        <v>4.0999999999999996</v>
      </c>
      <c r="X294" t="str" cm="1">
        <f t="array" ref="X294">_xlfn.IFS(Table1_1[[#This Row],[Customer_Rating]]&lt;3,"Poor",Table1_1[[#This Row],[Customer_Rating]]&lt;4,"Good",Table1_1[[#This Row],[Customer_Rating]]&gt;=4,"Excellent")</f>
        <v>Excellent</v>
      </c>
    </row>
    <row r="295" spans="1:24" x14ac:dyDescent="0.35">
      <c r="A295" s="2" t="s">
        <v>528</v>
      </c>
      <c r="B295" s="3">
        <v>46021</v>
      </c>
      <c r="C295" s="3" t="str">
        <f>TEXT(Table1_1[[#This Row],[Date]],"YYYY")</f>
        <v>2025</v>
      </c>
      <c r="D295" s="3" t="str">
        <f>TEXT(Table1_1[[#This Row],[Date]],"mmm")</f>
        <v>Dec</v>
      </c>
      <c r="E295" s="2" t="s">
        <v>29</v>
      </c>
      <c r="F295" s="2" t="str">
        <f>INDEX(IndiGo_Flight_Data!$R$2:$R$11,MATCH(Table1_1[[#This Row],[Route]],_xlfn.ANCHORARRAY(IndiGo_Flight_Data!$Q$2),0))</f>
        <v>Calacatta - Delhi</v>
      </c>
      <c r="G295" s="2" t="s">
        <v>43</v>
      </c>
      <c r="H295">
        <v>168</v>
      </c>
      <c r="I295">
        <v>232</v>
      </c>
      <c r="J295">
        <f>Table1_1[[#This Row],[Seat_Capacity]]-Table1_1[[#This Row],[Passengers]]</f>
        <v>64</v>
      </c>
      <c r="K295">
        <v>72.41</v>
      </c>
      <c r="L295" t="str" cm="1">
        <f t="array" ref="L295">_xlfn.IFS(Table1_1[[#This Row],[Load_Factor_%]]&lt;60,"Low",Table1_1[[#This Row],[Load_Factor_%]]&lt;85,"Intermediate",Table1_1[[#This Row],[Load_Factor_%]]&gt;=85,"High")</f>
        <v>Intermediate</v>
      </c>
      <c r="M295" s="4">
        <v>1073950</v>
      </c>
      <c r="N295" s="4">
        <v>130167</v>
      </c>
      <c r="O295" s="4">
        <f>SUM(Table1_1[[#This Row],[Ticket_Revenue_INR]:[Cargo_Revenue_INR]])</f>
        <v>1204117</v>
      </c>
      <c r="P295" s="4">
        <v>504016</v>
      </c>
      <c r="Q295" s="4">
        <v>900404</v>
      </c>
      <c r="R295" s="4">
        <f>SUM(Table1_1[[#This Row],[Fuel_Cost_INR]:[Operating_Cost_INR]])</f>
        <v>1404420</v>
      </c>
      <c r="S295" s="4">
        <f>Table1_1[[#This Row],[Total_Revenue]]-Table1_1[[#This Row],[Total_Cost]]</f>
        <v>-200303</v>
      </c>
      <c r="T295" s="9">
        <f>(Table1_1[[#This Row],[Total_Profit]]/Table1_1[[#This Row],[Total_Revenue]])</f>
        <v>-0.16634845284968156</v>
      </c>
      <c r="U295" s="5">
        <v>27</v>
      </c>
      <c r="V295" s="6" t="s">
        <v>18</v>
      </c>
      <c r="W295" s="8">
        <v>3.7</v>
      </c>
      <c r="X295" t="str" cm="1">
        <f t="array" ref="X295">_xlfn.IFS(Table1_1[[#This Row],[Customer_Rating]]&lt;3,"Poor",Table1_1[[#This Row],[Customer_Rating]]&lt;4,"Good",Table1_1[[#This Row],[Customer_Rating]]&gt;=4,"Excellent")</f>
        <v>Good</v>
      </c>
    </row>
    <row r="296" spans="1:24" x14ac:dyDescent="0.35">
      <c r="A296" s="2" t="s">
        <v>530</v>
      </c>
      <c r="B296" s="3">
        <v>45833</v>
      </c>
      <c r="C296" s="3" t="str">
        <f>TEXT(Table1_1[[#This Row],[Date]],"YYYY")</f>
        <v>2025</v>
      </c>
      <c r="D296" s="3" t="str">
        <f>TEXT(Table1_1[[#This Row],[Date]],"mmm")</f>
        <v>Jun</v>
      </c>
      <c r="E296" s="2" t="s">
        <v>16</v>
      </c>
      <c r="F296" s="2" t="str">
        <f>INDEX(IndiGo_Flight_Data!$R$2:$R$11,MATCH(Table1_1[[#This Row],[Route]],_xlfn.ANCHORARRAY(IndiGo_Flight_Data!$Q$2),0))</f>
        <v>Delhi - Goa</v>
      </c>
      <c r="G296" s="2" t="s">
        <v>24</v>
      </c>
      <c r="H296">
        <v>153</v>
      </c>
      <c r="I296">
        <v>180</v>
      </c>
      <c r="J296">
        <f>Table1_1[[#This Row],[Seat_Capacity]]-Table1_1[[#This Row],[Passengers]]</f>
        <v>27</v>
      </c>
      <c r="K296">
        <v>85</v>
      </c>
      <c r="L296" t="str" cm="1">
        <f t="array" ref="L296">_xlfn.IFS(Table1_1[[#This Row],[Load_Factor_%]]&lt;60,"Low",Table1_1[[#This Row],[Load_Factor_%]]&lt;85,"Intermediate",Table1_1[[#This Row],[Load_Factor_%]]&gt;=85,"High")</f>
        <v>High</v>
      </c>
      <c r="M296" s="4">
        <v>1161899</v>
      </c>
      <c r="N296" s="4">
        <v>90152</v>
      </c>
      <c r="O296" s="4">
        <f>SUM(Table1_1[[#This Row],[Ticket_Revenue_INR]:[Cargo_Revenue_INR]])</f>
        <v>1252051</v>
      </c>
      <c r="P296" s="4">
        <v>541860</v>
      </c>
      <c r="Q296" s="4">
        <v>809473</v>
      </c>
      <c r="R296" s="4">
        <f>SUM(Table1_1[[#This Row],[Fuel_Cost_INR]:[Operating_Cost_INR]])</f>
        <v>1351333</v>
      </c>
      <c r="S296" s="4">
        <f>Table1_1[[#This Row],[Total_Revenue]]-Table1_1[[#This Row],[Total_Cost]]</f>
        <v>-99282</v>
      </c>
      <c r="T296" s="9">
        <f>(Table1_1[[#This Row],[Total_Profit]]/Table1_1[[#This Row],[Total_Revenue]])</f>
        <v>-7.929549195679729E-2</v>
      </c>
      <c r="U296" s="5">
        <v>67</v>
      </c>
      <c r="V296" s="6" t="s">
        <v>18</v>
      </c>
      <c r="W296" s="8">
        <v>4.5999999999999996</v>
      </c>
      <c r="X296" t="str" cm="1">
        <f t="array" ref="X296">_xlfn.IFS(Table1_1[[#This Row],[Customer_Rating]]&lt;3,"Poor",Table1_1[[#This Row],[Customer_Rating]]&lt;4,"Good",Table1_1[[#This Row],[Customer_Rating]]&gt;=4,"Excellent")</f>
        <v>Excellent</v>
      </c>
    </row>
    <row r="297" spans="1:24" x14ac:dyDescent="0.35">
      <c r="A297" s="2" t="s">
        <v>531</v>
      </c>
      <c r="B297" s="3">
        <v>45988</v>
      </c>
      <c r="C297" s="3" t="str">
        <f>TEXT(Table1_1[[#This Row],[Date]],"YYYY")</f>
        <v>2025</v>
      </c>
      <c r="D297" s="3" t="str">
        <f>TEXT(Table1_1[[#This Row],[Date]],"mmm")</f>
        <v>Nov</v>
      </c>
      <c r="E297" s="2" t="s">
        <v>76</v>
      </c>
      <c r="F297" s="2" t="str">
        <f>INDEX(IndiGo_Flight_Data!$R$2:$R$11,MATCH(Table1_1[[#This Row],[Route]],_xlfn.ANCHORARRAY(IndiGo_Flight_Data!$Q$2),0))</f>
        <v>Madras - Delhi</v>
      </c>
      <c r="G297" s="2" t="s">
        <v>43</v>
      </c>
      <c r="H297">
        <v>169</v>
      </c>
      <c r="I297">
        <v>232</v>
      </c>
      <c r="J297">
        <f>Table1_1[[#This Row],[Seat_Capacity]]-Table1_1[[#This Row],[Passengers]]</f>
        <v>63</v>
      </c>
      <c r="K297">
        <v>72.84</v>
      </c>
      <c r="L297" t="str" cm="1">
        <f t="array" ref="L297">_xlfn.IFS(Table1_1[[#This Row],[Load_Factor_%]]&lt;60,"Low",Table1_1[[#This Row],[Load_Factor_%]]&lt;85,"Intermediate",Table1_1[[#This Row],[Load_Factor_%]]&gt;=85,"High")</f>
        <v>Intermediate</v>
      </c>
      <c r="M297" s="4">
        <v>993268</v>
      </c>
      <c r="N297" s="4">
        <v>122532</v>
      </c>
      <c r="O297" s="4">
        <f>SUM(Table1_1[[#This Row],[Ticket_Revenue_INR]:[Cargo_Revenue_INR]])</f>
        <v>1115800</v>
      </c>
      <c r="P297" s="4">
        <v>765478</v>
      </c>
      <c r="Q297" s="4">
        <v>1120009</v>
      </c>
      <c r="R297" s="4">
        <f>SUM(Table1_1[[#This Row],[Fuel_Cost_INR]:[Operating_Cost_INR]])</f>
        <v>1885487</v>
      </c>
      <c r="S297" s="4">
        <f>Table1_1[[#This Row],[Total_Revenue]]-Table1_1[[#This Row],[Total_Cost]]</f>
        <v>-769687</v>
      </c>
      <c r="T297" s="9">
        <f>(Table1_1[[#This Row],[Total_Profit]]/Table1_1[[#This Row],[Total_Revenue]])</f>
        <v>-0.68980731313855526</v>
      </c>
      <c r="U297" s="5">
        <v>61</v>
      </c>
      <c r="V297" s="6" t="s">
        <v>18</v>
      </c>
      <c r="W297" s="8">
        <v>4.5999999999999996</v>
      </c>
      <c r="X297" t="str" cm="1">
        <f t="array" ref="X297">_xlfn.IFS(Table1_1[[#This Row],[Customer_Rating]]&lt;3,"Poor",Table1_1[[#This Row],[Customer_Rating]]&lt;4,"Good",Table1_1[[#This Row],[Customer_Rating]]&gt;=4,"Excellent")</f>
        <v>Excellent</v>
      </c>
    </row>
    <row r="298" spans="1:24" x14ac:dyDescent="0.35">
      <c r="A298" s="2" t="s">
        <v>533</v>
      </c>
      <c r="B298" s="3">
        <v>45720</v>
      </c>
      <c r="C298" s="3" t="str">
        <f>TEXT(Table1_1[[#This Row],[Date]],"YYYY")</f>
        <v>2025</v>
      </c>
      <c r="D298" s="3" t="str">
        <f>TEXT(Table1_1[[#This Row],[Date]],"mmm")</f>
        <v>Mar</v>
      </c>
      <c r="E298" s="2" t="s">
        <v>39</v>
      </c>
      <c r="F298" s="2" t="str">
        <f>INDEX(IndiGo_Flight_Data!$R$2:$R$11,MATCH(Table1_1[[#This Row],[Route]],_xlfn.ANCHORARRAY(IndiGo_Flight_Data!$Q$2),0))</f>
        <v>Bengaluru - Delhi</v>
      </c>
      <c r="G298" s="2" t="s">
        <v>24</v>
      </c>
      <c r="H298">
        <v>119</v>
      </c>
      <c r="I298">
        <v>180</v>
      </c>
      <c r="J298">
        <f>Table1_1[[#This Row],[Seat_Capacity]]-Table1_1[[#This Row],[Passengers]]</f>
        <v>61</v>
      </c>
      <c r="K298">
        <v>66.11</v>
      </c>
      <c r="L298" t="str" cm="1">
        <f t="array" ref="L298">_xlfn.IFS(Table1_1[[#This Row],[Load_Factor_%]]&lt;60,"Low",Table1_1[[#This Row],[Load_Factor_%]]&lt;85,"Intermediate",Table1_1[[#This Row],[Load_Factor_%]]&gt;=85,"High")</f>
        <v>Intermediate</v>
      </c>
      <c r="M298" s="4">
        <v>620003</v>
      </c>
      <c r="N298" s="4">
        <v>59679</v>
      </c>
      <c r="O298" s="4">
        <f>SUM(Table1_1[[#This Row],[Ticket_Revenue_INR]:[Cargo_Revenue_INR]])</f>
        <v>679682</v>
      </c>
      <c r="P298" s="4">
        <v>403084</v>
      </c>
      <c r="Q298" s="4">
        <v>798590</v>
      </c>
      <c r="R298" s="4">
        <f>SUM(Table1_1[[#This Row],[Fuel_Cost_INR]:[Operating_Cost_INR]])</f>
        <v>1201674</v>
      </c>
      <c r="S298" s="4">
        <f>Table1_1[[#This Row],[Total_Revenue]]-Table1_1[[#This Row],[Total_Cost]]</f>
        <v>-521992</v>
      </c>
      <c r="T298" s="9">
        <f>(Table1_1[[#This Row],[Total_Profit]]/Table1_1[[#This Row],[Total_Revenue]])</f>
        <v>-0.76799444446079201</v>
      </c>
      <c r="U298" s="5">
        <v>39</v>
      </c>
      <c r="V298" s="6" t="s">
        <v>18</v>
      </c>
      <c r="W298" s="8">
        <v>4.5</v>
      </c>
      <c r="X298" t="str" cm="1">
        <f t="array" ref="X298">_xlfn.IFS(Table1_1[[#This Row],[Customer_Rating]]&lt;3,"Poor",Table1_1[[#This Row],[Customer_Rating]]&lt;4,"Good",Table1_1[[#This Row],[Customer_Rating]]&gt;=4,"Excellent")</f>
        <v>Excellent</v>
      </c>
    </row>
    <row r="299" spans="1:24" x14ac:dyDescent="0.35">
      <c r="A299" s="2" t="s">
        <v>534</v>
      </c>
      <c r="B299" s="3">
        <v>45795</v>
      </c>
      <c r="C299" s="3" t="str">
        <f>TEXT(Table1_1[[#This Row],[Date]],"YYYY")</f>
        <v>2025</v>
      </c>
      <c r="D299" s="3" t="str">
        <f>TEXT(Table1_1[[#This Row],[Date]],"mmm")</f>
        <v>May</v>
      </c>
      <c r="E299" s="2" t="s">
        <v>29</v>
      </c>
      <c r="F299" s="2" t="str">
        <f>INDEX(IndiGo_Flight_Data!$R$2:$R$11,MATCH(Table1_1[[#This Row],[Route]],_xlfn.ANCHORARRAY(IndiGo_Flight_Data!$Q$2),0))</f>
        <v>Calacatta - Delhi</v>
      </c>
      <c r="G299" s="2" t="s">
        <v>17</v>
      </c>
      <c r="H299">
        <v>76</v>
      </c>
      <c r="I299">
        <v>78</v>
      </c>
      <c r="J299">
        <f>Table1_1[[#This Row],[Seat_Capacity]]-Table1_1[[#This Row],[Passengers]]</f>
        <v>2</v>
      </c>
      <c r="K299">
        <v>97.44</v>
      </c>
      <c r="L299" t="str" cm="1">
        <f t="array" ref="L299">_xlfn.IFS(Table1_1[[#This Row],[Load_Factor_%]]&lt;60,"Low",Table1_1[[#This Row],[Load_Factor_%]]&lt;85,"Intermediate",Table1_1[[#This Row],[Load_Factor_%]]&gt;=85,"High")</f>
        <v>High</v>
      </c>
      <c r="M299" s="4">
        <v>675203</v>
      </c>
      <c r="N299" s="4">
        <v>46780</v>
      </c>
      <c r="O299" s="4">
        <f>SUM(Table1_1[[#This Row],[Ticket_Revenue_INR]:[Cargo_Revenue_INR]])</f>
        <v>721983</v>
      </c>
      <c r="P299" s="4">
        <v>1095913</v>
      </c>
      <c r="Q299" s="4">
        <v>1324500</v>
      </c>
      <c r="R299" s="4">
        <f>SUM(Table1_1[[#This Row],[Fuel_Cost_INR]:[Operating_Cost_INR]])</f>
        <v>2420413</v>
      </c>
      <c r="S299" s="4">
        <f>Table1_1[[#This Row],[Total_Revenue]]-Table1_1[[#This Row],[Total_Cost]]</f>
        <v>-1698430</v>
      </c>
      <c r="T299" s="9">
        <f>(Table1_1[[#This Row],[Total_Profit]]/Table1_1[[#This Row],[Total_Revenue]])</f>
        <v>-2.3524515120162111</v>
      </c>
      <c r="U299" s="5">
        <v>5</v>
      </c>
      <c r="V299" s="6" t="s">
        <v>33</v>
      </c>
      <c r="W299" s="8">
        <v>4</v>
      </c>
      <c r="X299" t="str" cm="1">
        <f t="array" ref="X299">_xlfn.IFS(Table1_1[[#This Row],[Customer_Rating]]&lt;3,"Poor",Table1_1[[#This Row],[Customer_Rating]]&lt;4,"Good",Table1_1[[#This Row],[Customer_Rating]]&gt;=4,"Excellent")</f>
        <v>Excellent</v>
      </c>
    </row>
    <row r="300" spans="1:24" x14ac:dyDescent="0.35">
      <c r="A300" s="2" t="s">
        <v>535</v>
      </c>
      <c r="B300" s="3">
        <v>45921</v>
      </c>
      <c r="C300" s="3" t="str">
        <f>TEXT(Table1_1[[#This Row],[Date]],"YYYY")</f>
        <v>2025</v>
      </c>
      <c r="D300" s="3" t="str">
        <f>TEXT(Table1_1[[#This Row],[Date]],"mmm")</f>
        <v>Sep</v>
      </c>
      <c r="E300" s="2" t="s">
        <v>117</v>
      </c>
      <c r="F300" s="2" t="str">
        <f>INDEX(IndiGo_Flight_Data!$R$2:$R$11,MATCH(Table1_1[[#This Row],[Route]],_xlfn.ANCHORARRAY(IndiGo_Flight_Data!$Q$2),0))</f>
        <v>Bengaluru - Calacatta</v>
      </c>
      <c r="G300" s="2" t="s">
        <v>17</v>
      </c>
      <c r="H300">
        <v>56</v>
      </c>
      <c r="I300">
        <v>78</v>
      </c>
      <c r="J300">
        <f>Table1_1[[#This Row],[Seat_Capacity]]-Table1_1[[#This Row],[Passengers]]</f>
        <v>22</v>
      </c>
      <c r="K300">
        <v>71.790000000000006</v>
      </c>
      <c r="L300" t="str" cm="1">
        <f t="array" ref="L300">_xlfn.IFS(Table1_1[[#This Row],[Load_Factor_%]]&lt;60,"Low",Table1_1[[#This Row],[Load_Factor_%]]&lt;85,"Intermediate",Table1_1[[#This Row],[Load_Factor_%]]&gt;=85,"High")</f>
        <v>Intermediate</v>
      </c>
      <c r="M300" s="4">
        <v>301039</v>
      </c>
      <c r="N300" s="4">
        <v>16589</v>
      </c>
      <c r="O300" s="4">
        <f>SUM(Table1_1[[#This Row],[Ticket_Revenue_INR]:[Cargo_Revenue_INR]])</f>
        <v>317628</v>
      </c>
      <c r="P300" s="4">
        <v>1174531</v>
      </c>
      <c r="Q300" s="4">
        <v>1590709</v>
      </c>
      <c r="R300" s="4">
        <f>SUM(Table1_1[[#This Row],[Fuel_Cost_INR]:[Operating_Cost_INR]])</f>
        <v>2765240</v>
      </c>
      <c r="S300" s="4">
        <f>Table1_1[[#This Row],[Total_Revenue]]-Table1_1[[#This Row],[Total_Cost]]</f>
        <v>-2447612</v>
      </c>
      <c r="T300" s="9">
        <f>(Table1_1[[#This Row],[Total_Profit]]/Table1_1[[#This Row],[Total_Revenue]])</f>
        <v>-7.7059075396375638</v>
      </c>
      <c r="U300" s="5">
        <v>19</v>
      </c>
      <c r="V300" s="6" t="s">
        <v>18</v>
      </c>
      <c r="W300" s="8">
        <v>3.4</v>
      </c>
      <c r="X300" t="str" cm="1">
        <f t="array" ref="X300">_xlfn.IFS(Table1_1[[#This Row],[Customer_Rating]]&lt;3,"Poor",Table1_1[[#This Row],[Customer_Rating]]&lt;4,"Good",Table1_1[[#This Row],[Customer_Rating]]&gt;=4,"Excellent")</f>
        <v>Good</v>
      </c>
    </row>
    <row r="301" spans="1:24" x14ac:dyDescent="0.35">
      <c r="A301" s="2" t="s">
        <v>537</v>
      </c>
      <c r="B301" s="3">
        <v>45896</v>
      </c>
      <c r="C301" s="3" t="str">
        <f>TEXT(Table1_1[[#This Row],[Date]],"YYYY")</f>
        <v>2025</v>
      </c>
      <c r="D301" s="3" t="str">
        <f>TEXT(Table1_1[[#This Row],[Date]],"mmm")</f>
        <v>Aug</v>
      </c>
      <c r="E301" s="2" t="s">
        <v>21</v>
      </c>
      <c r="F301" s="2" t="str">
        <f>INDEX(IndiGo_Flight_Data!$R$2:$R$11,MATCH(Table1_1[[#This Row],[Route]],_xlfn.ANCHORARRAY(IndiGo_Flight_Data!$Q$2),0))</f>
        <v>Bengaluru - Hyderabad</v>
      </c>
      <c r="G301" s="2" t="s">
        <v>43</v>
      </c>
      <c r="H301">
        <v>225</v>
      </c>
      <c r="I301">
        <v>232</v>
      </c>
      <c r="J301">
        <f>Table1_1[[#This Row],[Seat_Capacity]]-Table1_1[[#This Row],[Passengers]]</f>
        <v>7</v>
      </c>
      <c r="K301">
        <v>96.98</v>
      </c>
      <c r="L301" t="str" cm="1">
        <f t="array" ref="L301">_xlfn.IFS(Table1_1[[#This Row],[Load_Factor_%]]&lt;60,"Low",Table1_1[[#This Row],[Load_Factor_%]]&lt;85,"Intermediate",Table1_1[[#This Row],[Load_Factor_%]]&gt;=85,"High")</f>
        <v>High</v>
      </c>
      <c r="M301" s="4">
        <v>994996</v>
      </c>
      <c r="N301" s="4">
        <v>48457</v>
      </c>
      <c r="O301" s="4">
        <f>SUM(Table1_1[[#This Row],[Ticket_Revenue_INR]:[Cargo_Revenue_INR]])</f>
        <v>1043453</v>
      </c>
      <c r="P301" s="4">
        <v>1165635</v>
      </c>
      <c r="Q301" s="4">
        <v>1760985</v>
      </c>
      <c r="R301" s="4">
        <f>SUM(Table1_1[[#This Row],[Fuel_Cost_INR]:[Operating_Cost_INR]])</f>
        <v>2926620</v>
      </c>
      <c r="S301" s="4">
        <f>Table1_1[[#This Row],[Total_Revenue]]-Table1_1[[#This Row],[Total_Cost]]</f>
        <v>-1883167</v>
      </c>
      <c r="T301" s="9">
        <f>(Table1_1[[#This Row],[Total_Profit]]/Table1_1[[#This Row],[Total_Revenue]])</f>
        <v>-1.8047453982115151</v>
      </c>
      <c r="U301" s="5">
        <v>63</v>
      </c>
      <c r="V301" s="6" t="s">
        <v>18</v>
      </c>
      <c r="W301" s="8">
        <v>3.7</v>
      </c>
      <c r="X301" t="str" cm="1">
        <f t="array" ref="X301">_xlfn.IFS(Table1_1[[#This Row],[Customer_Rating]]&lt;3,"Poor",Table1_1[[#This Row],[Customer_Rating]]&lt;4,"Good",Table1_1[[#This Row],[Customer_Rating]]&gt;=4,"Excellent")</f>
        <v>Good</v>
      </c>
    </row>
    <row r="302" spans="1:24" x14ac:dyDescent="0.35">
      <c r="A302" s="2" t="s">
        <v>539</v>
      </c>
      <c r="B302" s="3">
        <v>45746</v>
      </c>
      <c r="C302" s="3" t="str">
        <f>TEXT(Table1_1[[#This Row],[Date]],"YYYY")</f>
        <v>2025</v>
      </c>
      <c r="D302" s="3" t="str">
        <f>TEXT(Table1_1[[#This Row],[Date]],"mmm")</f>
        <v>Mar</v>
      </c>
      <c r="E302" s="2" t="s">
        <v>32</v>
      </c>
      <c r="F302" s="2" t="str">
        <f>INDEX(IndiGo_Flight_Data!$R$2:$R$11,MATCH(Table1_1[[#This Row],[Route]],_xlfn.ANCHORARRAY(IndiGo_Flight_Data!$Q$2),0))</f>
        <v>Bengaluru - Cochin</v>
      </c>
      <c r="G302" s="2" t="s">
        <v>24</v>
      </c>
      <c r="H302">
        <v>120</v>
      </c>
      <c r="I302">
        <v>180</v>
      </c>
      <c r="J302">
        <f>Table1_1[[#This Row],[Seat_Capacity]]-Table1_1[[#This Row],[Passengers]]</f>
        <v>60</v>
      </c>
      <c r="K302">
        <v>66.67</v>
      </c>
      <c r="L302" t="str" cm="1">
        <f t="array" ref="L302">_xlfn.IFS(Table1_1[[#This Row],[Load_Factor_%]]&lt;60,"Low",Table1_1[[#This Row],[Load_Factor_%]]&lt;85,"Intermediate",Table1_1[[#This Row],[Load_Factor_%]]&gt;=85,"High")</f>
        <v>Intermediate</v>
      </c>
      <c r="M302" s="4">
        <v>578122</v>
      </c>
      <c r="N302" s="4">
        <v>143087</v>
      </c>
      <c r="O302" s="4">
        <f>SUM(Table1_1[[#This Row],[Ticket_Revenue_INR]:[Cargo_Revenue_INR]])</f>
        <v>721209</v>
      </c>
      <c r="P302" s="4">
        <v>468292</v>
      </c>
      <c r="Q302" s="4">
        <v>710701</v>
      </c>
      <c r="R302" s="4">
        <f>SUM(Table1_1[[#This Row],[Fuel_Cost_INR]:[Operating_Cost_INR]])</f>
        <v>1178993</v>
      </c>
      <c r="S302" s="4">
        <f>Table1_1[[#This Row],[Total_Revenue]]-Table1_1[[#This Row],[Total_Cost]]</f>
        <v>-457784</v>
      </c>
      <c r="T302" s="9">
        <f>(Table1_1[[#This Row],[Total_Profit]]/Table1_1[[#This Row],[Total_Revenue]])</f>
        <v>-0.63474526801523556</v>
      </c>
      <c r="U302" s="5">
        <v>62</v>
      </c>
      <c r="V302" s="6" t="s">
        <v>18</v>
      </c>
      <c r="W302" s="8">
        <v>4.4000000000000004</v>
      </c>
      <c r="X302" t="str" cm="1">
        <f t="array" ref="X302">_xlfn.IFS(Table1_1[[#This Row],[Customer_Rating]]&lt;3,"Poor",Table1_1[[#This Row],[Customer_Rating]]&lt;4,"Good",Table1_1[[#This Row],[Customer_Rating]]&gt;=4,"Excellent")</f>
        <v>Excellent</v>
      </c>
    </row>
    <row r="303" spans="1:24" x14ac:dyDescent="0.35">
      <c r="A303" s="2" t="s">
        <v>541</v>
      </c>
      <c r="B303" s="3">
        <v>45854</v>
      </c>
      <c r="C303" s="3" t="str">
        <f>TEXT(Table1_1[[#This Row],[Date]],"YYYY")</f>
        <v>2025</v>
      </c>
      <c r="D303" s="3" t="str">
        <f>TEXT(Table1_1[[#This Row],[Date]],"mmm")</f>
        <v>Jul</v>
      </c>
      <c r="E303" s="2" t="s">
        <v>36</v>
      </c>
      <c r="F303" s="2" t="str">
        <f>INDEX(IndiGo_Flight_Data!$R$2:$R$11,MATCH(Table1_1[[#This Row],[Route]],_xlfn.ANCHORARRAY(IndiGo_Flight_Data!$Q$2),0))</f>
        <v>Delhi - Bombay</v>
      </c>
      <c r="G303" s="2" t="s">
        <v>17</v>
      </c>
      <c r="H303">
        <v>47</v>
      </c>
      <c r="I303">
        <v>78</v>
      </c>
      <c r="J303">
        <f>Table1_1[[#This Row],[Seat_Capacity]]-Table1_1[[#This Row],[Passengers]]</f>
        <v>31</v>
      </c>
      <c r="K303">
        <v>60.26</v>
      </c>
      <c r="L303" t="str" cm="1">
        <f t="array" ref="L303">_xlfn.IFS(Table1_1[[#This Row],[Load_Factor_%]]&lt;60,"Low",Table1_1[[#This Row],[Load_Factor_%]]&lt;85,"Intermediate",Table1_1[[#This Row],[Load_Factor_%]]&gt;=85,"High")</f>
        <v>Intermediate</v>
      </c>
      <c r="M303" s="4">
        <v>419073</v>
      </c>
      <c r="N303" s="4">
        <v>112200</v>
      </c>
      <c r="O303" s="4">
        <f>SUM(Table1_1[[#This Row],[Ticket_Revenue_INR]:[Cargo_Revenue_INR]])</f>
        <v>531273</v>
      </c>
      <c r="P303" s="4">
        <v>1003156</v>
      </c>
      <c r="Q303" s="4">
        <v>1496262</v>
      </c>
      <c r="R303" s="4">
        <f>SUM(Table1_1[[#This Row],[Fuel_Cost_INR]:[Operating_Cost_INR]])</f>
        <v>2499418</v>
      </c>
      <c r="S303" s="4">
        <f>Table1_1[[#This Row],[Total_Revenue]]-Table1_1[[#This Row],[Total_Cost]]</f>
        <v>-1968145</v>
      </c>
      <c r="T303" s="9">
        <f>(Table1_1[[#This Row],[Total_Profit]]/Table1_1[[#This Row],[Total_Revenue]])</f>
        <v>-3.7045831427533491</v>
      </c>
      <c r="U303" s="5">
        <v>42</v>
      </c>
      <c r="V303" s="6" t="s">
        <v>18</v>
      </c>
      <c r="W303" s="8">
        <v>4.5</v>
      </c>
      <c r="X303" t="str" cm="1">
        <f t="array" ref="X303">_xlfn.IFS(Table1_1[[#This Row],[Customer_Rating]]&lt;3,"Poor",Table1_1[[#This Row],[Customer_Rating]]&lt;4,"Good",Table1_1[[#This Row],[Customer_Rating]]&gt;=4,"Excellent")</f>
        <v>Excellent</v>
      </c>
    </row>
    <row r="304" spans="1:24" x14ac:dyDescent="0.35">
      <c r="A304" s="2" t="s">
        <v>542</v>
      </c>
      <c r="B304" s="3">
        <v>45770</v>
      </c>
      <c r="C304" s="3" t="str">
        <f>TEXT(Table1_1[[#This Row],[Date]],"YYYY")</f>
        <v>2025</v>
      </c>
      <c r="D304" s="3" t="str">
        <f>TEXT(Table1_1[[#This Row],[Date]],"mmm")</f>
        <v>Apr</v>
      </c>
      <c r="E304" s="2" t="s">
        <v>39</v>
      </c>
      <c r="F304" s="2" t="str">
        <f>INDEX(IndiGo_Flight_Data!$R$2:$R$11,MATCH(Table1_1[[#This Row],[Route]],_xlfn.ANCHORARRAY(IndiGo_Flight_Data!$Q$2),0))</f>
        <v>Bengaluru - Delhi</v>
      </c>
      <c r="G304" s="2" t="s">
        <v>24</v>
      </c>
      <c r="H304">
        <v>170</v>
      </c>
      <c r="I304">
        <v>180</v>
      </c>
      <c r="J304">
        <f>Table1_1[[#This Row],[Seat_Capacity]]-Table1_1[[#This Row],[Passengers]]</f>
        <v>10</v>
      </c>
      <c r="K304">
        <v>94.44</v>
      </c>
      <c r="L304" t="str" cm="1">
        <f t="array" ref="L304">_xlfn.IFS(Table1_1[[#This Row],[Load_Factor_%]]&lt;60,"Low",Table1_1[[#This Row],[Load_Factor_%]]&lt;85,"Intermediate",Table1_1[[#This Row],[Load_Factor_%]]&gt;=85,"High")</f>
        <v>High</v>
      </c>
      <c r="M304" s="4">
        <v>1512765</v>
      </c>
      <c r="N304" s="4">
        <v>83589</v>
      </c>
      <c r="O304" s="4">
        <f>SUM(Table1_1[[#This Row],[Ticket_Revenue_INR]:[Cargo_Revenue_INR]])</f>
        <v>1596354</v>
      </c>
      <c r="P304" s="4">
        <v>884239</v>
      </c>
      <c r="Q304" s="4">
        <v>1276863</v>
      </c>
      <c r="R304" s="4">
        <f>SUM(Table1_1[[#This Row],[Fuel_Cost_INR]:[Operating_Cost_INR]])</f>
        <v>2161102</v>
      </c>
      <c r="S304" s="4">
        <f>Table1_1[[#This Row],[Total_Revenue]]-Table1_1[[#This Row],[Total_Cost]]</f>
        <v>-564748</v>
      </c>
      <c r="T304" s="9">
        <f>(Table1_1[[#This Row],[Total_Profit]]/Table1_1[[#This Row],[Total_Revenue]])</f>
        <v>-0.35377366173167102</v>
      </c>
      <c r="U304" s="5">
        <v>44</v>
      </c>
      <c r="V304" s="6" t="s">
        <v>18</v>
      </c>
      <c r="W304" s="8">
        <v>4.0999999999999996</v>
      </c>
      <c r="X304" t="str" cm="1">
        <f t="array" ref="X304">_xlfn.IFS(Table1_1[[#This Row],[Customer_Rating]]&lt;3,"Poor",Table1_1[[#This Row],[Customer_Rating]]&lt;4,"Good",Table1_1[[#This Row],[Customer_Rating]]&gt;=4,"Excellent")</f>
        <v>Excellent</v>
      </c>
    </row>
    <row r="305" spans="1:24" x14ac:dyDescent="0.35">
      <c r="A305" s="2" t="s">
        <v>543</v>
      </c>
      <c r="B305" s="3">
        <v>45668</v>
      </c>
      <c r="C305" s="3" t="str">
        <f>TEXT(Table1_1[[#This Row],[Date]],"YYYY")</f>
        <v>2025</v>
      </c>
      <c r="D305" s="3" t="str">
        <f>TEXT(Table1_1[[#This Row],[Date]],"mmm")</f>
        <v>Jan</v>
      </c>
      <c r="E305" s="2" t="s">
        <v>117</v>
      </c>
      <c r="F305" s="2" t="str">
        <f>INDEX(IndiGo_Flight_Data!$R$2:$R$11,MATCH(Table1_1[[#This Row],[Route]],_xlfn.ANCHORARRAY(IndiGo_Flight_Data!$Q$2),0))</f>
        <v>Bengaluru - Calacatta</v>
      </c>
      <c r="G305" s="2" t="s">
        <v>17</v>
      </c>
      <c r="H305">
        <v>62</v>
      </c>
      <c r="I305">
        <v>78</v>
      </c>
      <c r="J305">
        <f>Table1_1[[#This Row],[Seat_Capacity]]-Table1_1[[#This Row],[Passengers]]</f>
        <v>16</v>
      </c>
      <c r="K305">
        <v>79.489999999999995</v>
      </c>
      <c r="L305" t="str" cm="1">
        <f t="array" ref="L305">_xlfn.IFS(Table1_1[[#This Row],[Load_Factor_%]]&lt;60,"Low",Table1_1[[#This Row],[Load_Factor_%]]&lt;85,"Intermediate",Table1_1[[#This Row],[Load_Factor_%]]&gt;=85,"High")</f>
        <v>Intermediate</v>
      </c>
      <c r="M305" s="4">
        <v>448323</v>
      </c>
      <c r="N305" s="4">
        <v>90747</v>
      </c>
      <c r="O305" s="4">
        <f>SUM(Table1_1[[#This Row],[Ticket_Revenue_INR]:[Cargo_Revenue_INR]])</f>
        <v>539070</v>
      </c>
      <c r="P305" s="4">
        <v>499125</v>
      </c>
      <c r="Q305" s="4">
        <v>936939</v>
      </c>
      <c r="R305" s="4">
        <f>SUM(Table1_1[[#This Row],[Fuel_Cost_INR]:[Operating_Cost_INR]])</f>
        <v>1436064</v>
      </c>
      <c r="S305" s="4">
        <f>Table1_1[[#This Row],[Total_Revenue]]-Table1_1[[#This Row],[Total_Cost]]</f>
        <v>-896994</v>
      </c>
      <c r="T305" s="9">
        <f>(Table1_1[[#This Row],[Total_Profit]]/Table1_1[[#This Row],[Total_Revenue]])</f>
        <v>-1.6639657187378263</v>
      </c>
      <c r="U305" s="5">
        <v>42</v>
      </c>
      <c r="V305" s="6" t="s">
        <v>18</v>
      </c>
      <c r="W305" s="8">
        <v>3.9</v>
      </c>
      <c r="X305" t="str" cm="1">
        <f t="array" ref="X305">_xlfn.IFS(Table1_1[[#This Row],[Customer_Rating]]&lt;3,"Poor",Table1_1[[#This Row],[Customer_Rating]]&lt;4,"Good",Table1_1[[#This Row],[Customer_Rating]]&gt;=4,"Excellent")</f>
        <v>Good</v>
      </c>
    </row>
    <row r="306" spans="1:24" x14ac:dyDescent="0.35">
      <c r="A306" s="2" t="s">
        <v>545</v>
      </c>
      <c r="B306" s="3">
        <v>45836</v>
      </c>
      <c r="C306" s="3" t="str">
        <f>TEXT(Table1_1[[#This Row],[Date]],"YYYY")</f>
        <v>2025</v>
      </c>
      <c r="D306" s="3" t="str">
        <f>TEXT(Table1_1[[#This Row],[Date]],"mmm")</f>
        <v>Jun</v>
      </c>
      <c r="E306" s="2" t="s">
        <v>32</v>
      </c>
      <c r="F306" s="2" t="str">
        <f>INDEX(IndiGo_Flight_Data!$R$2:$R$11,MATCH(Table1_1[[#This Row],[Route]],_xlfn.ANCHORARRAY(IndiGo_Flight_Data!$Q$2),0))</f>
        <v>Bengaluru - Cochin</v>
      </c>
      <c r="G306" s="2" t="s">
        <v>17</v>
      </c>
      <c r="H306">
        <v>65</v>
      </c>
      <c r="I306">
        <v>78</v>
      </c>
      <c r="J306">
        <f>Table1_1[[#This Row],[Seat_Capacity]]-Table1_1[[#This Row],[Passengers]]</f>
        <v>13</v>
      </c>
      <c r="K306">
        <v>83.33</v>
      </c>
      <c r="L306" t="str" cm="1">
        <f t="array" ref="L306">_xlfn.IFS(Table1_1[[#This Row],[Load_Factor_%]]&lt;60,"Low",Table1_1[[#This Row],[Load_Factor_%]]&lt;85,"Intermediate",Table1_1[[#This Row],[Load_Factor_%]]&gt;=85,"High")</f>
        <v>Intermediate</v>
      </c>
      <c r="M306" s="4">
        <v>244495</v>
      </c>
      <c r="N306" s="4">
        <v>31265</v>
      </c>
      <c r="O306" s="4">
        <f>SUM(Table1_1[[#This Row],[Ticket_Revenue_INR]:[Cargo_Revenue_INR]])</f>
        <v>275760</v>
      </c>
      <c r="P306" s="4">
        <v>938105</v>
      </c>
      <c r="Q306" s="4">
        <v>1202671</v>
      </c>
      <c r="R306" s="4">
        <f>SUM(Table1_1[[#This Row],[Fuel_Cost_INR]:[Operating_Cost_INR]])</f>
        <v>2140776</v>
      </c>
      <c r="S306" s="4">
        <f>Table1_1[[#This Row],[Total_Revenue]]-Table1_1[[#This Row],[Total_Cost]]</f>
        <v>-1865016</v>
      </c>
      <c r="T306" s="9">
        <f>(Table1_1[[#This Row],[Total_Profit]]/Table1_1[[#This Row],[Total_Revenue]])</f>
        <v>-6.7631853785900784</v>
      </c>
      <c r="U306" s="5">
        <v>45</v>
      </c>
      <c r="V306" s="6" t="s">
        <v>18</v>
      </c>
      <c r="W306" s="8">
        <v>4.2</v>
      </c>
      <c r="X306" t="str" cm="1">
        <f t="array" ref="X306">_xlfn.IFS(Table1_1[[#This Row],[Customer_Rating]]&lt;3,"Poor",Table1_1[[#This Row],[Customer_Rating]]&lt;4,"Good",Table1_1[[#This Row],[Customer_Rating]]&gt;=4,"Excellent")</f>
        <v>Excellent</v>
      </c>
    </row>
    <row r="307" spans="1:24" x14ac:dyDescent="0.35">
      <c r="A307" s="2" t="s">
        <v>546</v>
      </c>
      <c r="B307" s="3">
        <v>45900</v>
      </c>
      <c r="C307" s="3" t="str">
        <f>TEXT(Table1_1[[#This Row],[Date]],"YYYY")</f>
        <v>2025</v>
      </c>
      <c r="D307" s="3" t="str">
        <f>TEXT(Table1_1[[#This Row],[Date]],"mmm")</f>
        <v>Aug</v>
      </c>
      <c r="E307" s="2" t="s">
        <v>36</v>
      </c>
      <c r="F307" s="2" t="str">
        <f>INDEX(IndiGo_Flight_Data!$R$2:$R$11,MATCH(Table1_1[[#This Row],[Route]],_xlfn.ANCHORARRAY(IndiGo_Flight_Data!$Q$2),0))</f>
        <v>Delhi - Bombay</v>
      </c>
      <c r="G307" s="2" t="s">
        <v>43</v>
      </c>
      <c r="H307">
        <v>180</v>
      </c>
      <c r="I307">
        <v>232</v>
      </c>
      <c r="J307">
        <f>Table1_1[[#This Row],[Seat_Capacity]]-Table1_1[[#This Row],[Passengers]]</f>
        <v>52</v>
      </c>
      <c r="K307">
        <v>77.59</v>
      </c>
      <c r="L307" t="str" cm="1">
        <f t="array" ref="L307">_xlfn.IFS(Table1_1[[#This Row],[Load_Factor_%]]&lt;60,"Low",Table1_1[[#This Row],[Load_Factor_%]]&lt;85,"Intermediate",Table1_1[[#This Row],[Load_Factor_%]]&gt;=85,"High")</f>
        <v>Intermediate</v>
      </c>
      <c r="M307" s="4">
        <v>675023</v>
      </c>
      <c r="N307" s="4">
        <v>144397</v>
      </c>
      <c r="O307" s="4">
        <f>SUM(Table1_1[[#This Row],[Ticket_Revenue_INR]:[Cargo_Revenue_INR]])</f>
        <v>819420</v>
      </c>
      <c r="P307" s="4">
        <v>1045315</v>
      </c>
      <c r="Q307" s="4">
        <v>1434332</v>
      </c>
      <c r="R307" s="4">
        <f>SUM(Table1_1[[#This Row],[Fuel_Cost_INR]:[Operating_Cost_INR]])</f>
        <v>2479647</v>
      </c>
      <c r="S307" s="4">
        <f>Table1_1[[#This Row],[Total_Revenue]]-Table1_1[[#This Row],[Total_Cost]]</f>
        <v>-1660227</v>
      </c>
      <c r="T307" s="9">
        <f>(Table1_1[[#This Row],[Total_Profit]]/Table1_1[[#This Row],[Total_Revenue]])</f>
        <v>-2.0261001684118036</v>
      </c>
      <c r="U307" s="5">
        <v>29</v>
      </c>
      <c r="V307" s="6" t="s">
        <v>18</v>
      </c>
      <c r="W307" s="8">
        <v>3.2</v>
      </c>
      <c r="X307" t="str" cm="1">
        <f t="array" ref="X307">_xlfn.IFS(Table1_1[[#This Row],[Customer_Rating]]&lt;3,"Poor",Table1_1[[#This Row],[Customer_Rating]]&lt;4,"Good",Table1_1[[#This Row],[Customer_Rating]]&gt;=4,"Excellent")</f>
        <v>Good</v>
      </c>
    </row>
    <row r="308" spans="1:24" x14ac:dyDescent="0.35">
      <c r="A308" s="2" t="s">
        <v>548</v>
      </c>
      <c r="B308" s="3">
        <v>45758</v>
      </c>
      <c r="C308" s="3" t="str">
        <f>TEXT(Table1_1[[#This Row],[Date]],"YYYY")</f>
        <v>2025</v>
      </c>
      <c r="D308" s="3" t="str">
        <f>TEXT(Table1_1[[#This Row],[Date]],"mmm")</f>
        <v>Apr</v>
      </c>
      <c r="E308" s="2" t="s">
        <v>29</v>
      </c>
      <c r="F308" s="2" t="str">
        <f>INDEX(IndiGo_Flight_Data!$R$2:$R$11,MATCH(Table1_1[[#This Row],[Route]],_xlfn.ANCHORARRAY(IndiGo_Flight_Data!$Q$2),0))</f>
        <v>Calacatta - Delhi</v>
      </c>
      <c r="G308" s="2" t="s">
        <v>17</v>
      </c>
      <c r="H308">
        <v>71</v>
      </c>
      <c r="I308">
        <v>78</v>
      </c>
      <c r="J308">
        <f>Table1_1[[#This Row],[Seat_Capacity]]-Table1_1[[#This Row],[Passengers]]</f>
        <v>7</v>
      </c>
      <c r="K308">
        <v>91.03</v>
      </c>
      <c r="L308" t="str" cm="1">
        <f t="array" ref="L308">_xlfn.IFS(Table1_1[[#This Row],[Load_Factor_%]]&lt;60,"Low",Table1_1[[#This Row],[Load_Factor_%]]&lt;85,"Intermediate",Table1_1[[#This Row],[Load_Factor_%]]&gt;=85,"High")</f>
        <v>High</v>
      </c>
      <c r="M308" s="4">
        <v>426540</v>
      </c>
      <c r="N308" s="4">
        <v>27002</v>
      </c>
      <c r="O308" s="4">
        <f>SUM(Table1_1[[#This Row],[Ticket_Revenue_INR]:[Cargo_Revenue_INR]])</f>
        <v>453542</v>
      </c>
      <c r="P308" s="4">
        <v>1087648</v>
      </c>
      <c r="Q308" s="4">
        <v>1222414</v>
      </c>
      <c r="R308" s="4">
        <f>SUM(Table1_1[[#This Row],[Fuel_Cost_INR]:[Operating_Cost_INR]])</f>
        <v>2310062</v>
      </c>
      <c r="S308" s="4">
        <f>Table1_1[[#This Row],[Total_Revenue]]-Table1_1[[#This Row],[Total_Cost]]</f>
        <v>-1856520</v>
      </c>
      <c r="T308" s="9">
        <f>(Table1_1[[#This Row],[Total_Profit]]/Table1_1[[#This Row],[Total_Revenue]])</f>
        <v>-4.0933805468953262</v>
      </c>
      <c r="U308" s="5">
        <v>45</v>
      </c>
      <c r="V308" s="6" t="s">
        <v>18</v>
      </c>
      <c r="W308" s="8">
        <v>4.2</v>
      </c>
      <c r="X308" t="str" cm="1">
        <f t="array" ref="X308">_xlfn.IFS(Table1_1[[#This Row],[Customer_Rating]]&lt;3,"Poor",Table1_1[[#This Row],[Customer_Rating]]&lt;4,"Good",Table1_1[[#This Row],[Customer_Rating]]&gt;=4,"Excellent")</f>
        <v>Excellent</v>
      </c>
    </row>
    <row r="309" spans="1:24" x14ac:dyDescent="0.35">
      <c r="A309" s="2" t="s">
        <v>549</v>
      </c>
      <c r="B309" s="3">
        <v>45954</v>
      </c>
      <c r="C309" s="3" t="str">
        <f>TEXT(Table1_1[[#This Row],[Date]],"YYYY")</f>
        <v>2025</v>
      </c>
      <c r="D309" s="3" t="str">
        <f>TEXT(Table1_1[[#This Row],[Date]],"mmm")</f>
        <v>Oct</v>
      </c>
      <c r="E309" s="2" t="s">
        <v>59</v>
      </c>
      <c r="F309" s="2" t="str">
        <f>INDEX(IndiGo_Flight_Data!$R$2:$R$11,MATCH(Table1_1[[#This Row],[Route]],_xlfn.ANCHORARRAY(IndiGo_Flight_Data!$Q$2),0))</f>
        <v>Bengaluru - Bombay</v>
      </c>
      <c r="G309" s="2" t="s">
        <v>24</v>
      </c>
      <c r="H309">
        <v>168</v>
      </c>
      <c r="I309">
        <v>180</v>
      </c>
      <c r="J309">
        <f>Table1_1[[#This Row],[Seat_Capacity]]-Table1_1[[#This Row],[Passengers]]</f>
        <v>12</v>
      </c>
      <c r="K309">
        <v>93.33</v>
      </c>
      <c r="L309" t="str" cm="1">
        <f t="array" ref="L309">_xlfn.IFS(Table1_1[[#This Row],[Load_Factor_%]]&lt;60,"Low",Table1_1[[#This Row],[Load_Factor_%]]&lt;85,"Intermediate",Table1_1[[#This Row],[Load_Factor_%]]&gt;=85,"High")</f>
        <v>High</v>
      </c>
      <c r="M309" s="4">
        <v>804539</v>
      </c>
      <c r="N309" s="4">
        <v>92793</v>
      </c>
      <c r="O309" s="4">
        <f>SUM(Table1_1[[#This Row],[Ticket_Revenue_INR]:[Cargo_Revenue_INR]])</f>
        <v>897332</v>
      </c>
      <c r="P309" s="4">
        <v>374492</v>
      </c>
      <c r="Q309" s="4">
        <v>615683</v>
      </c>
      <c r="R309" s="4">
        <f>SUM(Table1_1[[#This Row],[Fuel_Cost_INR]:[Operating_Cost_INR]])</f>
        <v>990175</v>
      </c>
      <c r="S309" s="4">
        <f>Table1_1[[#This Row],[Total_Revenue]]-Table1_1[[#This Row],[Total_Cost]]</f>
        <v>-92843</v>
      </c>
      <c r="T309" s="9">
        <f>(Table1_1[[#This Row],[Total_Profit]]/Table1_1[[#This Row],[Total_Revenue]])</f>
        <v>-0.10346560693255116</v>
      </c>
      <c r="U309" s="5">
        <v>88</v>
      </c>
      <c r="V309" s="6" t="s">
        <v>18</v>
      </c>
      <c r="W309" s="8">
        <v>3.8</v>
      </c>
      <c r="X309" t="str" cm="1">
        <f t="array" ref="X309">_xlfn.IFS(Table1_1[[#This Row],[Customer_Rating]]&lt;3,"Poor",Table1_1[[#This Row],[Customer_Rating]]&lt;4,"Good",Table1_1[[#This Row],[Customer_Rating]]&gt;=4,"Excellent")</f>
        <v>Good</v>
      </c>
    </row>
    <row r="310" spans="1:24" x14ac:dyDescent="0.35">
      <c r="A310" s="2" t="s">
        <v>551</v>
      </c>
      <c r="B310" s="3">
        <v>45786</v>
      </c>
      <c r="C310" s="3" t="str">
        <f>TEXT(Table1_1[[#This Row],[Date]],"YYYY")</f>
        <v>2025</v>
      </c>
      <c r="D310" s="3" t="str">
        <f>TEXT(Table1_1[[#This Row],[Date]],"mmm")</f>
        <v>May</v>
      </c>
      <c r="E310" s="2" t="s">
        <v>59</v>
      </c>
      <c r="F310" s="2" t="str">
        <f>INDEX(IndiGo_Flight_Data!$R$2:$R$11,MATCH(Table1_1[[#This Row],[Route]],_xlfn.ANCHORARRAY(IndiGo_Flight_Data!$Q$2),0))</f>
        <v>Bengaluru - Bombay</v>
      </c>
      <c r="G310" s="2" t="s">
        <v>17</v>
      </c>
      <c r="H310">
        <v>71</v>
      </c>
      <c r="I310">
        <v>78</v>
      </c>
      <c r="J310">
        <f>Table1_1[[#This Row],[Seat_Capacity]]-Table1_1[[#This Row],[Passengers]]</f>
        <v>7</v>
      </c>
      <c r="K310">
        <v>91.03</v>
      </c>
      <c r="L310" t="str" cm="1">
        <f t="array" ref="L310">_xlfn.IFS(Table1_1[[#This Row],[Load_Factor_%]]&lt;60,"Low",Table1_1[[#This Row],[Load_Factor_%]]&lt;85,"Intermediate",Table1_1[[#This Row],[Load_Factor_%]]&gt;=85,"High")</f>
        <v>High</v>
      </c>
      <c r="M310" s="4">
        <v>357637</v>
      </c>
      <c r="N310" s="4">
        <v>108021</v>
      </c>
      <c r="O310" s="4">
        <f>SUM(Table1_1[[#This Row],[Ticket_Revenue_INR]:[Cargo_Revenue_INR]])</f>
        <v>465658</v>
      </c>
      <c r="P310" s="4">
        <v>601282</v>
      </c>
      <c r="Q310" s="4">
        <v>952480</v>
      </c>
      <c r="R310" s="4">
        <f>SUM(Table1_1[[#This Row],[Fuel_Cost_INR]:[Operating_Cost_INR]])</f>
        <v>1553762</v>
      </c>
      <c r="S310" s="4">
        <f>Table1_1[[#This Row],[Total_Revenue]]-Table1_1[[#This Row],[Total_Cost]]</f>
        <v>-1088104</v>
      </c>
      <c r="T310" s="9">
        <f>(Table1_1[[#This Row],[Total_Profit]]/Table1_1[[#This Row],[Total_Revenue]])</f>
        <v>-2.3367020431303662</v>
      </c>
      <c r="U310" s="5">
        <v>21</v>
      </c>
      <c r="V310" s="6" t="s">
        <v>18</v>
      </c>
      <c r="W310" s="8">
        <v>3.3</v>
      </c>
      <c r="X310" t="str" cm="1">
        <f t="array" ref="X310">_xlfn.IFS(Table1_1[[#This Row],[Customer_Rating]]&lt;3,"Poor",Table1_1[[#This Row],[Customer_Rating]]&lt;4,"Good",Table1_1[[#This Row],[Customer_Rating]]&gt;=4,"Excellent")</f>
        <v>Good</v>
      </c>
    </row>
    <row r="311" spans="1:24" x14ac:dyDescent="0.35">
      <c r="A311" s="2" t="s">
        <v>552</v>
      </c>
      <c r="B311" s="3">
        <v>46022</v>
      </c>
      <c r="C311" s="3" t="str">
        <f>TEXT(Table1_1[[#This Row],[Date]],"YYYY")</f>
        <v>2025</v>
      </c>
      <c r="D311" s="3" t="str">
        <f>TEXT(Table1_1[[#This Row],[Date]],"mmm")</f>
        <v>Dec</v>
      </c>
      <c r="E311" s="2" t="s">
        <v>29</v>
      </c>
      <c r="F311" s="2" t="str">
        <f>INDEX(IndiGo_Flight_Data!$R$2:$R$11,MATCH(Table1_1[[#This Row],[Route]],_xlfn.ANCHORARRAY(IndiGo_Flight_Data!$Q$2),0))</f>
        <v>Calacatta - Delhi</v>
      </c>
      <c r="G311" s="2" t="s">
        <v>24</v>
      </c>
      <c r="H311">
        <v>132</v>
      </c>
      <c r="I311">
        <v>180</v>
      </c>
      <c r="J311">
        <f>Table1_1[[#This Row],[Seat_Capacity]]-Table1_1[[#This Row],[Passengers]]</f>
        <v>48</v>
      </c>
      <c r="K311">
        <v>73.33</v>
      </c>
      <c r="L311" t="str" cm="1">
        <f t="array" ref="L311">_xlfn.IFS(Table1_1[[#This Row],[Load_Factor_%]]&lt;60,"Low",Table1_1[[#This Row],[Load_Factor_%]]&lt;85,"Intermediate",Table1_1[[#This Row],[Load_Factor_%]]&gt;=85,"High")</f>
        <v>Intermediate</v>
      </c>
      <c r="M311" s="4">
        <v>894013</v>
      </c>
      <c r="N311" s="4">
        <v>74364</v>
      </c>
      <c r="O311" s="4">
        <f>SUM(Table1_1[[#This Row],[Ticket_Revenue_INR]:[Cargo_Revenue_INR]])</f>
        <v>968377</v>
      </c>
      <c r="P311" s="4">
        <v>285168</v>
      </c>
      <c r="Q311" s="4">
        <v>880505</v>
      </c>
      <c r="R311" s="4">
        <f>SUM(Table1_1[[#This Row],[Fuel_Cost_INR]:[Operating_Cost_INR]])</f>
        <v>1165673</v>
      </c>
      <c r="S311" s="4">
        <f>Table1_1[[#This Row],[Total_Revenue]]-Table1_1[[#This Row],[Total_Cost]]</f>
        <v>-197296</v>
      </c>
      <c r="T311" s="9">
        <f>(Table1_1[[#This Row],[Total_Profit]]/Table1_1[[#This Row],[Total_Revenue]])</f>
        <v>-0.20373883311974572</v>
      </c>
      <c r="U311" s="5">
        <v>38</v>
      </c>
      <c r="V311" s="6" t="s">
        <v>18</v>
      </c>
      <c r="W311" s="8">
        <v>4.5</v>
      </c>
      <c r="X311" t="str" cm="1">
        <f t="array" ref="X311">_xlfn.IFS(Table1_1[[#This Row],[Customer_Rating]]&lt;3,"Poor",Table1_1[[#This Row],[Customer_Rating]]&lt;4,"Good",Table1_1[[#This Row],[Customer_Rating]]&gt;=4,"Excellent")</f>
        <v>Excellent</v>
      </c>
    </row>
    <row r="312" spans="1:24" x14ac:dyDescent="0.35">
      <c r="A312" s="2" t="s">
        <v>553</v>
      </c>
      <c r="B312" s="3">
        <v>45999</v>
      </c>
      <c r="C312" s="3" t="str">
        <f>TEXT(Table1_1[[#This Row],[Date]],"YYYY")</f>
        <v>2025</v>
      </c>
      <c r="D312" s="3" t="str">
        <f>TEXT(Table1_1[[#This Row],[Date]],"mmm")</f>
        <v>Dec</v>
      </c>
      <c r="E312" s="2" t="s">
        <v>16</v>
      </c>
      <c r="F312" s="2" t="str">
        <f>INDEX(IndiGo_Flight_Data!$R$2:$R$11,MATCH(Table1_1[[#This Row],[Route]],_xlfn.ANCHORARRAY(IndiGo_Flight_Data!$Q$2),0))</f>
        <v>Delhi - Goa</v>
      </c>
      <c r="G312" s="2" t="s">
        <v>17</v>
      </c>
      <c r="H312">
        <v>46</v>
      </c>
      <c r="I312">
        <v>78</v>
      </c>
      <c r="J312">
        <f>Table1_1[[#This Row],[Seat_Capacity]]-Table1_1[[#This Row],[Passengers]]</f>
        <v>32</v>
      </c>
      <c r="K312">
        <v>58.97</v>
      </c>
      <c r="L312" t="str" cm="1">
        <f t="array" ref="L312">_xlfn.IFS(Table1_1[[#This Row],[Load_Factor_%]]&lt;60,"Low",Table1_1[[#This Row],[Load_Factor_%]]&lt;85,"Intermediate",Table1_1[[#This Row],[Load_Factor_%]]&gt;=85,"High")</f>
        <v>Low</v>
      </c>
      <c r="M312" s="4">
        <v>225010</v>
      </c>
      <c r="N312" s="4">
        <v>32454</v>
      </c>
      <c r="O312" s="4">
        <f>SUM(Table1_1[[#This Row],[Ticket_Revenue_INR]:[Cargo_Revenue_INR]])</f>
        <v>257464</v>
      </c>
      <c r="P312" s="4">
        <v>879955</v>
      </c>
      <c r="Q312" s="4">
        <v>1429692</v>
      </c>
      <c r="R312" s="4">
        <f>SUM(Table1_1[[#This Row],[Fuel_Cost_INR]:[Operating_Cost_INR]])</f>
        <v>2309647</v>
      </c>
      <c r="S312" s="4">
        <f>Table1_1[[#This Row],[Total_Revenue]]-Table1_1[[#This Row],[Total_Cost]]</f>
        <v>-2052183</v>
      </c>
      <c r="T312" s="9">
        <f>(Table1_1[[#This Row],[Total_Profit]]/Table1_1[[#This Row],[Total_Revenue]])</f>
        <v>-7.970757076717522</v>
      </c>
      <c r="U312" s="5">
        <v>10</v>
      </c>
      <c r="V312" s="6" t="s">
        <v>33</v>
      </c>
      <c r="W312" s="8">
        <v>4</v>
      </c>
      <c r="X312" t="str" cm="1">
        <f t="array" ref="X312">_xlfn.IFS(Table1_1[[#This Row],[Customer_Rating]]&lt;3,"Poor",Table1_1[[#This Row],[Customer_Rating]]&lt;4,"Good",Table1_1[[#This Row],[Customer_Rating]]&gt;=4,"Excellent")</f>
        <v>Excellent</v>
      </c>
    </row>
    <row r="313" spans="1:24" x14ac:dyDescent="0.35">
      <c r="A313" s="2" t="s">
        <v>554</v>
      </c>
      <c r="B313" s="3">
        <v>45753</v>
      </c>
      <c r="C313" s="3" t="str">
        <f>TEXT(Table1_1[[#This Row],[Date]],"YYYY")</f>
        <v>2025</v>
      </c>
      <c r="D313" s="3" t="str">
        <f>TEXT(Table1_1[[#This Row],[Date]],"mmm")</f>
        <v>Apr</v>
      </c>
      <c r="E313" s="2" t="s">
        <v>32</v>
      </c>
      <c r="F313" s="2" t="str">
        <f>INDEX(IndiGo_Flight_Data!$R$2:$R$11,MATCH(Table1_1[[#This Row],[Route]],_xlfn.ANCHORARRAY(IndiGo_Flight_Data!$Q$2),0))</f>
        <v>Bengaluru - Cochin</v>
      </c>
      <c r="G313" s="2" t="s">
        <v>24</v>
      </c>
      <c r="H313">
        <v>165</v>
      </c>
      <c r="I313">
        <v>180</v>
      </c>
      <c r="J313">
        <f>Table1_1[[#This Row],[Seat_Capacity]]-Table1_1[[#This Row],[Passengers]]</f>
        <v>15</v>
      </c>
      <c r="K313">
        <v>91.67</v>
      </c>
      <c r="L313" t="str" cm="1">
        <f t="array" ref="L313">_xlfn.IFS(Table1_1[[#This Row],[Load_Factor_%]]&lt;60,"Low",Table1_1[[#This Row],[Load_Factor_%]]&lt;85,"Intermediate",Table1_1[[#This Row],[Load_Factor_%]]&gt;=85,"High")</f>
        <v>High</v>
      </c>
      <c r="M313" s="4">
        <v>1072005</v>
      </c>
      <c r="N313" s="4">
        <v>36336</v>
      </c>
      <c r="O313" s="4">
        <f>SUM(Table1_1[[#This Row],[Ticket_Revenue_INR]:[Cargo_Revenue_INR]])</f>
        <v>1108341</v>
      </c>
      <c r="P313" s="4">
        <v>1164681</v>
      </c>
      <c r="Q313" s="4">
        <v>1549791</v>
      </c>
      <c r="R313" s="4">
        <f>SUM(Table1_1[[#This Row],[Fuel_Cost_INR]:[Operating_Cost_INR]])</f>
        <v>2714472</v>
      </c>
      <c r="S313" s="4">
        <f>Table1_1[[#This Row],[Total_Revenue]]-Table1_1[[#This Row],[Total_Cost]]</f>
        <v>-1606131</v>
      </c>
      <c r="T313" s="9">
        <f>(Table1_1[[#This Row],[Total_Profit]]/Table1_1[[#This Row],[Total_Revenue]])</f>
        <v>-1.4491307278175218</v>
      </c>
      <c r="U313" s="5">
        <v>5</v>
      </c>
      <c r="V313" s="6" t="s">
        <v>33</v>
      </c>
      <c r="W313" s="8">
        <v>3.8</v>
      </c>
      <c r="X313" t="str" cm="1">
        <f t="array" ref="X313">_xlfn.IFS(Table1_1[[#This Row],[Customer_Rating]]&lt;3,"Poor",Table1_1[[#This Row],[Customer_Rating]]&lt;4,"Good",Table1_1[[#This Row],[Customer_Rating]]&gt;=4,"Excellent")</f>
        <v>Good</v>
      </c>
    </row>
    <row r="314" spans="1:24" x14ac:dyDescent="0.35">
      <c r="A314" s="2" t="s">
        <v>556</v>
      </c>
      <c r="B314" s="3">
        <v>45689</v>
      </c>
      <c r="C314" s="3" t="str">
        <f>TEXT(Table1_1[[#This Row],[Date]],"YYYY")</f>
        <v>2025</v>
      </c>
      <c r="D314" s="3" t="str">
        <f>TEXT(Table1_1[[#This Row],[Date]],"mmm")</f>
        <v>Feb</v>
      </c>
      <c r="E314" s="2" t="s">
        <v>76</v>
      </c>
      <c r="F314" s="2" t="str">
        <f>INDEX(IndiGo_Flight_Data!$R$2:$R$11,MATCH(Table1_1[[#This Row],[Route]],_xlfn.ANCHORARRAY(IndiGo_Flight_Data!$Q$2),0))</f>
        <v>Madras - Delhi</v>
      </c>
      <c r="G314" s="2" t="s">
        <v>17</v>
      </c>
      <c r="H314">
        <v>51</v>
      </c>
      <c r="I314">
        <v>78</v>
      </c>
      <c r="J314">
        <f>Table1_1[[#This Row],[Seat_Capacity]]-Table1_1[[#This Row],[Passengers]]</f>
        <v>27</v>
      </c>
      <c r="K314">
        <v>65.38</v>
      </c>
      <c r="L314" t="str" cm="1">
        <f t="array" ref="L314">_xlfn.IFS(Table1_1[[#This Row],[Load_Factor_%]]&lt;60,"Low",Table1_1[[#This Row],[Load_Factor_%]]&lt;85,"Intermediate",Table1_1[[#This Row],[Load_Factor_%]]&gt;=85,"High")</f>
        <v>Intermediate</v>
      </c>
      <c r="M314" s="4">
        <v>345793</v>
      </c>
      <c r="N314" s="4">
        <v>48652</v>
      </c>
      <c r="O314" s="4">
        <f>SUM(Table1_1[[#This Row],[Ticket_Revenue_INR]:[Cargo_Revenue_INR]])</f>
        <v>394445</v>
      </c>
      <c r="P314" s="4">
        <v>438367</v>
      </c>
      <c r="Q314" s="4">
        <v>841056</v>
      </c>
      <c r="R314" s="4">
        <f>SUM(Table1_1[[#This Row],[Fuel_Cost_INR]:[Operating_Cost_INR]])</f>
        <v>1279423</v>
      </c>
      <c r="S314" s="4">
        <f>Table1_1[[#This Row],[Total_Revenue]]-Table1_1[[#This Row],[Total_Cost]]</f>
        <v>-884978</v>
      </c>
      <c r="T314" s="9">
        <f>(Table1_1[[#This Row],[Total_Profit]]/Table1_1[[#This Row],[Total_Revenue]])</f>
        <v>-2.2436030371788207</v>
      </c>
      <c r="U314" s="5">
        <v>77</v>
      </c>
      <c r="V314" s="6" t="s">
        <v>18</v>
      </c>
      <c r="W314" s="8">
        <v>3.8</v>
      </c>
      <c r="X314" t="str" cm="1">
        <f t="array" ref="X314">_xlfn.IFS(Table1_1[[#This Row],[Customer_Rating]]&lt;3,"Poor",Table1_1[[#This Row],[Customer_Rating]]&lt;4,"Good",Table1_1[[#This Row],[Customer_Rating]]&gt;=4,"Excellent")</f>
        <v>Good</v>
      </c>
    </row>
    <row r="315" spans="1:24" x14ac:dyDescent="0.35">
      <c r="A315" s="2" t="s">
        <v>558</v>
      </c>
      <c r="B315" s="3">
        <v>45985</v>
      </c>
      <c r="C315" s="3" t="str">
        <f>TEXT(Table1_1[[#This Row],[Date]],"YYYY")</f>
        <v>2025</v>
      </c>
      <c r="D315" s="3" t="str">
        <f>TEXT(Table1_1[[#This Row],[Date]],"mmm")</f>
        <v>Nov</v>
      </c>
      <c r="E315" s="2" t="s">
        <v>76</v>
      </c>
      <c r="F315" s="2" t="str">
        <f>INDEX(IndiGo_Flight_Data!$R$2:$R$11,MATCH(Table1_1[[#This Row],[Route]],_xlfn.ANCHORARRAY(IndiGo_Flight_Data!$Q$2),0))</f>
        <v>Madras - Delhi</v>
      </c>
      <c r="G315" s="2" t="s">
        <v>24</v>
      </c>
      <c r="H315">
        <v>120</v>
      </c>
      <c r="I315">
        <v>180</v>
      </c>
      <c r="J315">
        <f>Table1_1[[#This Row],[Seat_Capacity]]-Table1_1[[#This Row],[Passengers]]</f>
        <v>60</v>
      </c>
      <c r="K315">
        <v>66.67</v>
      </c>
      <c r="L315" t="str" cm="1">
        <f t="array" ref="L315">_xlfn.IFS(Table1_1[[#This Row],[Load_Factor_%]]&lt;60,"Low",Table1_1[[#This Row],[Load_Factor_%]]&lt;85,"Intermediate",Table1_1[[#This Row],[Load_Factor_%]]&gt;=85,"High")</f>
        <v>Intermediate</v>
      </c>
      <c r="M315" s="4">
        <v>586168</v>
      </c>
      <c r="N315" s="4">
        <v>25163</v>
      </c>
      <c r="O315" s="4">
        <f>SUM(Table1_1[[#This Row],[Ticket_Revenue_INR]:[Cargo_Revenue_INR]])</f>
        <v>611331</v>
      </c>
      <c r="P315" s="4">
        <v>1170895</v>
      </c>
      <c r="Q315" s="4">
        <v>1640275</v>
      </c>
      <c r="R315" s="4">
        <f>SUM(Table1_1[[#This Row],[Fuel_Cost_INR]:[Operating_Cost_INR]])</f>
        <v>2811170</v>
      </c>
      <c r="S315" s="4">
        <f>Table1_1[[#This Row],[Total_Revenue]]-Table1_1[[#This Row],[Total_Cost]]</f>
        <v>-2199839</v>
      </c>
      <c r="T315" s="9">
        <f>(Table1_1[[#This Row],[Total_Profit]]/Table1_1[[#This Row],[Total_Revenue]])</f>
        <v>-3.5984417606828378</v>
      </c>
      <c r="U315" s="5">
        <v>46</v>
      </c>
      <c r="V315" s="6" t="s">
        <v>18</v>
      </c>
      <c r="W315" s="8">
        <v>3.5</v>
      </c>
      <c r="X315" t="str" cm="1">
        <f t="array" ref="X315">_xlfn.IFS(Table1_1[[#This Row],[Customer_Rating]]&lt;3,"Poor",Table1_1[[#This Row],[Customer_Rating]]&lt;4,"Good",Table1_1[[#This Row],[Customer_Rating]]&gt;=4,"Excellent")</f>
        <v>Good</v>
      </c>
    </row>
    <row r="316" spans="1:24" x14ac:dyDescent="0.35">
      <c r="A316" s="2" t="s">
        <v>560</v>
      </c>
      <c r="B316" s="3">
        <v>45705</v>
      </c>
      <c r="C316" s="3" t="str">
        <f>TEXT(Table1_1[[#This Row],[Date]],"YYYY")</f>
        <v>2025</v>
      </c>
      <c r="D316" s="3" t="str">
        <f>TEXT(Table1_1[[#This Row],[Date]],"mmm")</f>
        <v>Feb</v>
      </c>
      <c r="E316" s="2" t="s">
        <v>32</v>
      </c>
      <c r="F316" s="2" t="str">
        <f>INDEX(IndiGo_Flight_Data!$R$2:$R$11,MATCH(Table1_1[[#This Row],[Route]],_xlfn.ANCHORARRAY(IndiGo_Flight_Data!$Q$2),0))</f>
        <v>Bengaluru - Cochin</v>
      </c>
      <c r="G316" s="2" t="s">
        <v>17</v>
      </c>
      <c r="H316">
        <v>69</v>
      </c>
      <c r="I316">
        <v>78</v>
      </c>
      <c r="J316">
        <f>Table1_1[[#This Row],[Seat_Capacity]]-Table1_1[[#This Row],[Passengers]]</f>
        <v>9</v>
      </c>
      <c r="K316">
        <v>88.46</v>
      </c>
      <c r="L316" t="str" cm="1">
        <f t="array" ref="L316">_xlfn.IFS(Table1_1[[#This Row],[Load_Factor_%]]&lt;60,"Low",Table1_1[[#This Row],[Load_Factor_%]]&lt;85,"Intermediate",Table1_1[[#This Row],[Load_Factor_%]]&gt;=85,"High")</f>
        <v>High</v>
      </c>
      <c r="M316" s="4">
        <v>527832</v>
      </c>
      <c r="N316" s="4">
        <v>142804</v>
      </c>
      <c r="O316" s="4">
        <f>SUM(Table1_1[[#This Row],[Ticket_Revenue_INR]:[Cargo_Revenue_INR]])</f>
        <v>670636</v>
      </c>
      <c r="P316" s="4">
        <v>677855</v>
      </c>
      <c r="Q316" s="4">
        <v>920086</v>
      </c>
      <c r="R316" s="4">
        <f>SUM(Table1_1[[#This Row],[Fuel_Cost_INR]:[Operating_Cost_INR]])</f>
        <v>1597941</v>
      </c>
      <c r="S316" s="4">
        <f>Table1_1[[#This Row],[Total_Revenue]]-Table1_1[[#This Row],[Total_Cost]]</f>
        <v>-927305</v>
      </c>
      <c r="T316" s="9">
        <f>(Table1_1[[#This Row],[Total_Profit]]/Table1_1[[#This Row],[Total_Revenue]])</f>
        <v>-1.3827247567980245</v>
      </c>
      <c r="U316" s="5">
        <v>61</v>
      </c>
      <c r="V316" s="6" t="s">
        <v>18</v>
      </c>
      <c r="W316" s="8">
        <v>3.8</v>
      </c>
      <c r="X316" t="str" cm="1">
        <f t="array" ref="X316">_xlfn.IFS(Table1_1[[#This Row],[Customer_Rating]]&lt;3,"Poor",Table1_1[[#This Row],[Customer_Rating]]&lt;4,"Good",Table1_1[[#This Row],[Customer_Rating]]&gt;=4,"Excellent")</f>
        <v>Good</v>
      </c>
    </row>
    <row r="317" spans="1:24" x14ac:dyDescent="0.35">
      <c r="A317" s="2" t="s">
        <v>561</v>
      </c>
      <c r="B317" s="3">
        <v>45774</v>
      </c>
      <c r="C317" s="3" t="str">
        <f>TEXT(Table1_1[[#This Row],[Date]],"YYYY")</f>
        <v>2025</v>
      </c>
      <c r="D317" s="3" t="str">
        <f>TEXT(Table1_1[[#This Row],[Date]],"mmm")</f>
        <v>Apr</v>
      </c>
      <c r="E317" s="2" t="s">
        <v>76</v>
      </c>
      <c r="F317" s="2" t="str">
        <f>INDEX(IndiGo_Flight_Data!$R$2:$R$11,MATCH(Table1_1[[#This Row],[Route]],_xlfn.ANCHORARRAY(IndiGo_Flight_Data!$Q$2),0))</f>
        <v>Madras - Delhi</v>
      </c>
      <c r="G317" s="2" t="s">
        <v>17</v>
      </c>
      <c r="H317">
        <v>64</v>
      </c>
      <c r="I317">
        <v>78</v>
      </c>
      <c r="J317">
        <f>Table1_1[[#This Row],[Seat_Capacity]]-Table1_1[[#This Row],[Passengers]]</f>
        <v>14</v>
      </c>
      <c r="K317">
        <v>82.05</v>
      </c>
      <c r="L317" t="str" cm="1">
        <f t="array" ref="L317">_xlfn.IFS(Table1_1[[#This Row],[Load_Factor_%]]&lt;60,"Low",Table1_1[[#This Row],[Load_Factor_%]]&lt;85,"Intermediate",Table1_1[[#This Row],[Load_Factor_%]]&gt;=85,"High")</f>
        <v>Intermediate</v>
      </c>
      <c r="M317" s="4">
        <v>413150</v>
      </c>
      <c r="N317" s="4">
        <v>23542</v>
      </c>
      <c r="O317" s="4">
        <f>SUM(Table1_1[[#This Row],[Ticket_Revenue_INR]:[Cargo_Revenue_INR]])</f>
        <v>436692</v>
      </c>
      <c r="P317" s="4">
        <v>788936</v>
      </c>
      <c r="Q317" s="4">
        <v>906931</v>
      </c>
      <c r="R317" s="4">
        <f>SUM(Table1_1[[#This Row],[Fuel_Cost_INR]:[Operating_Cost_INR]])</f>
        <v>1695867</v>
      </c>
      <c r="S317" s="4">
        <f>Table1_1[[#This Row],[Total_Revenue]]-Table1_1[[#This Row],[Total_Cost]]</f>
        <v>-1259175</v>
      </c>
      <c r="T317" s="9">
        <f>(Table1_1[[#This Row],[Total_Profit]]/Table1_1[[#This Row],[Total_Revenue]])</f>
        <v>-2.8834395867109999</v>
      </c>
      <c r="U317" s="5">
        <v>30</v>
      </c>
      <c r="V317" s="6" t="s">
        <v>18</v>
      </c>
      <c r="W317" s="8">
        <v>3.2</v>
      </c>
      <c r="X317" t="str" cm="1">
        <f t="array" ref="X317">_xlfn.IFS(Table1_1[[#This Row],[Customer_Rating]]&lt;3,"Poor",Table1_1[[#This Row],[Customer_Rating]]&lt;4,"Good",Table1_1[[#This Row],[Customer_Rating]]&gt;=4,"Excellent")</f>
        <v>Good</v>
      </c>
    </row>
    <row r="318" spans="1:24" x14ac:dyDescent="0.35">
      <c r="A318" s="2" t="s">
        <v>563</v>
      </c>
      <c r="B318" s="3">
        <v>45835</v>
      </c>
      <c r="C318" s="3" t="str">
        <f>TEXT(Table1_1[[#This Row],[Date]],"YYYY")</f>
        <v>2025</v>
      </c>
      <c r="D318" s="3" t="str">
        <f>TEXT(Table1_1[[#This Row],[Date]],"mmm")</f>
        <v>Jun</v>
      </c>
      <c r="E318" s="2" t="s">
        <v>39</v>
      </c>
      <c r="F318" s="2" t="str">
        <f>INDEX(IndiGo_Flight_Data!$R$2:$R$11,MATCH(Table1_1[[#This Row],[Route]],_xlfn.ANCHORARRAY(IndiGo_Flight_Data!$Q$2),0))</f>
        <v>Bengaluru - Delhi</v>
      </c>
      <c r="G318" s="2" t="s">
        <v>24</v>
      </c>
      <c r="H318">
        <v>165</v>
      </c>
      <c r="I318">
        <v>180</v>
      </c>
      <c r="J318">
        <f>Table1_1[[#This Row],[Seat_Capacity]]-Table1_1[[#This Row],[Passengers]]</f>
        <v>15</v>
      </c>
      <c r="K318">
        <v>91.67</v>
      </c>
      <c r="L318" t="str" cm="1">
        <f t="array" ref="L318">_xlfn.IFS(Table1_1[[#This Row],[Load_Factor_%]]&lt;60,"Low",Table1_1[[#This Row],[Load_Factor_%]]&lt;85,"Intermediate",Table1_1[[#This Row],[Load_Factor_%]]&gt;=85,"High")</f>
        <v>High</v>
      </c>
      <c r="M318" s="4">
        <v>1059136</v>
      </c>
      <c r="N318" s="4">
        <v>18192</v>
      </c>
      <c r="O318" s="4">
        <f>SUM(Table1_1[[#This Row],[Ticket_Revenue_INR]:[Cargo_Revenue_INR]])</f>
        <v>1077328</v>
      </c>
      <c r="P318" s="4">
        <v>1198401</v>
      </c>
      <c r="Q318" s="4">
        <v>1674265</v>
      </c>
      <c r="R318" s="4">
        <f>SUM(Table1_1[[#This Row],[Fuel_Cost_INR]:[Operating_Cost_INR]])</f>
        <v>2872666</v>
      </c>
      <c r="S318" s="4">
        <f>Table1_1[[#This Row],[Total_Revenue]]-Table1_1[[#This Row],[Total_Cost]]</f>
        <v>-1795338</v>
      </c>
      <c r="T318" s="9">
        <f>(Table1_1[[#This Row],[Total_Profit]]/Table1_1[[#This Row],[Total_Revenue]])</f>
        <v>-1.6664729775889979</v>
      </c>
      <c r="U318" s="5">
        <v>20</v>
      </c>
      <c r="V318" s="6" t="s">
        <v>18</v>
      </c>
      <c r="W318" s="8">
        <v>4.0999999999999996</v>
      </c>
      <c r="X318" t="str" cm="1">
        <f t="array" ref="X318">_xlfn.IFS(Table1_1[[#This Row],[Customer_Rating]]&lt;3,"Poor",Table1_1[[#This Row],[Customer_Rating]]&lt;4,"Good",Table1_1[[#This Row],[Customer_Rating]]&gt;=4,"Excellent")</f>
        <v>Excellent</v>
      </c>
    </row>
    <row r="319" spans="1:24" x14ac:dyDescent="0.35">
      <c r="A319" s="2" t="s">
        <v>565</v>
      </c>
      <c r="B319" s="3">
        <v>45746</v>
      </c>
      <c r="C319" s="3" t="str">
        <f>TEXT(Table1_1[[#This Row],[Date]],"YYYY")</f>
        <v>2025</v>
      </c>
      <c r="D319" s="3" t="str">
        <f>TEXT(Table1_1[[#This Row],[Date]],"mmm")</f>
        <v>Mar</v>
      </c>
      <c r="E319" s="2" t="s">
        <v>42</v>
      </c>
      <c r="F319" s="2" t="str">
        <f>INDEX(IndiGo_Flight_Data!$R$2:$R$11,MATCH(Table1_1[[#This Row],[Route]],_xlfn.ANCHORARRAY(IndiGo_Flight_Data!$Q$2),0))</f>
        <v>Bombay - Hyderabad</v>
      </c>
      <c r="G319" s="2" t="s">
        <v>24</v>
      </c>
      <c r="H319">
        <v>171</v>
      </c>
      <c r="I319">
        <v>180</v>
      </c>
      <c r="J319">
        <f>Table1_1[[#This Row],[Seat_Capacity]]-Table1_1[[#This Row],[Passengers]]</f>
        <v>9</v>
      </c>
      <c r="K319">
        <v>95</v>
      </c>
      <c r="L319" t="str" cm="1">
        <f t="array" ref="L319">_xlfn.IFS(Table1_1[[#This Row],[Load_Factor_%]]&lt;60,"Low",Table1_1[[#This Row],[Load_Factor_%]]&lt;85,"Intermediate",Table1_1[[#This Row],[Load_Factor_%]]&gt;=85,"High")</f>
        <v>High</v>
      </c>
      <c r="M319" s="4">
        <v>617564</v>
      </c>
      <c r="N319" s="4">
        <v>51685</v>
      </c>
      <c r="O319" s="4">
        <f>SUM(Table1_1[[#This Row],[Ticket_Revenue_INR]:[Cargo_Revenue_INR]])</f>
        <v>669249</v>
      </c>
      <c r="P319" s="4">
        <v>873016</v>
      </c>
      <c r="Q319" s="4">
        <v>1171685</v>
      </c>
      <c r="R319" s="4">
        <f>SUM(Table1_1[[#This Row],[Fuel_Cost_INR]:[Operating_Cost_INR]])</f>
        <v>2044701</v>
      </c>
      <c r="S319" s="4">
        <f>Table1_1[[#This Row],[Total_Revenue]]-Table1_1[[#This Row],[Total_Cost]]</f>
        <v>-1375452</v>
      </c>
      <c r="T319" s="9">
        <f>(Table1_1[[#This Row],[Total_Profit]]/Table1_1[[#This Row],[Total_Revenue]])</f>
        <v>-2.0552171164992403</v>
      </c>
      <c r="U319" s="5">
        <v>1</v>
      </c>
      <c r="V319" s="6" t="s">
        <v>33</v>
      </c>
      <c r="W319" s="8">
        <v>4.3</v>
      </c>
      <c r="X319" t="str" cm="1">
        <f t="array" ref="X319">_xlfn.IFS(Table1_1[[#This Row],[Customer_Rating]]&lt;3,"Poor",Table1_1[[#This Row],[Customer_Rating]]&lt;4,"Good",Table1_1[[#This Row],[Customer_Rating]]&gt;=4,"Excellent")</f>
        <v>Excellent</v>
      </c>
    </row>
    <row r="320" spans="1:24" x14ac:dyDescent="0.35">
      <c r="A320" s="2" t="s">
        <v>566</v>
      </c>
      <c r="B320" s="3">
        <v>45811</v>
      </c>
      <c r="C320" s="3" t="str">
        <f>TEXT(Table1_1[[#This Row],[Date]],"YYYY")</f>
        <v>2025</v>
      </c>
      <c r="D320" s="3" t="str">
        <f>TEXT(Table1_1[[#This Row],[Date]],"mmm")</f>
        <v>Jun</v>
      </c>
      <c r="E320" s="2" t="s">
        <v>76</v>
      </c>
      <c r="F320" s="2" t="str">
        <f>INDEX(IndiGo_Flight_Data!$R$2:$R$11,MATCH(Table1_1[[#This Row],[Route]],_xlfn.ANCHORARRAY(IndiGo_Flight_Data!$Q$2),0))</f>
        <v>Madras - Delhi</v>
      </c>
      <c r="G320" s="2" t="s">
        <v>17</v>
      </c>
      <c r="H320">
        <v>68</v>
      </c>
      <c r="I320">
        <v>78</v>
      </c>
      <c r="J320">
        <f>Table1_1[[#This Row],[Seat_Capacity]]-Table1_1[[#This Row],[Passengers]]</f>
        <v>10</v>
      </c>
      <c r="K320">
        <v>87.18</v>
      </c>
      <c r="L320" t="str" cm="1">
        <f t="array" ref="L320">_xlfn.IFS(Table1_1[[#This Row],[Load_Factor_%]]&lt;60,"Low",Table1_1[[#This Row],[Load_Factor_%]]&lt;85,"Intermediate",Table1_1[[#This Row],[Load_Factor_%]]&gt;=85,"High")</f>
        <v>High</v>
      </c>
      <c r="M320" s="4">
        <v>261546</v>
      </c>
      <c r="N320" s="4">
        <v>45222</v>
      </c>
      <c r="O320" s="4">
        <f>SUM(Table1_1[[#This Row],[Ticket_Revenue_INR]:[Cargo_Revenue_INR]])</f>
        <v>306768</v>
      </c>
      <c r="P320" s="4">
        <v>625215</v>
      </c>
      <c r="Q320" s="4">
        <v>1311539</v>
      </c>
      <c r="R320" s="4">
        <f>SUM(Table1_1[[#This Row],[Fuel_Cost_INR]:[Operating_Cost_INR]])</f>
        <v>1936754</v>
      </c>
      <c r="S320" s="4">
        <f>Table1_1[[#This Row],[Total_Revenue]]-Table1_1[[#This Row],[Total_Cost]]</f>
        <v>-1629986</v>
      </c>
      <c r="T320" s="9">
        <f>(Table1_1[[#This Row],[Total_Profit]]/Table1_1[[#This Row],[Total_Revenue]])</f>
        <v>-5.3134160016690135</v>
      </c>
      <c r="U320" s="5">
        <v>73</v>
      </c>
      <c r="V320" s="6" t="s">
        <v>18</v>
      </c>
      <c r="W320" s="8">
        <v>3.3</v>
      </c>
      <c r="X320" t="str" cm="1">
        <f t="array" ref="X320">_xlfn.IFS(Table1_1[[#This Row],[Customer_Rating]]&lt;3,"Poor",Table1_1[[#This Row],[Customer_Rating]]&lt;4,"Good",Table1_1[[#This Row],[Customer_Rating]]&gt;=4,"Excellent")</f>
        <v>Good</v>
      </c>
    </row>
    <row r="321" spans="1:24" x14ac:dyDescent="0.35">
      <c r="A321" s="2" t="s">
        <v>567</v>
      </c>
      <c r="B321" s="3">
        <v>45839</v>
      </c>
      <c r="C321" s="3" t="str">
        <f>TEXT(Table1_1[[#This Row],[Date]],"YYYY")</f>
        <v>2025</v>
      </c>
      <c r="D321" s="3" t="str">
        <f>TEXT(Table1_1[[#This Row],[Date]],"mmm")</f>
        <v>Jul</v>
      </c>
      <c r="E321" s="2" t="s">
        <v>16</v>
      </c>
      <c r="F321" s="2" t="str">
        <f>INDEX(IndiGo_Flight_Data!$R$2:$R$11,MATCH(Table1_1[[#This Row],[Route]],_xlfn.ANCHORARRAY(IndiGo_Flight_Data!$Q$2),0))</f>
        <v>Delhi - Goa</v>
      </c>
      <c r="G321" s="2" t="s">
        <v>24</v>
      </c>
      <c r="H321">
        <v>153</v>
      </c>
      <c r="I321">
        <v>180</v>
      </c>
      <c r="J321">
        <f>Table1_1[[#This Row],[Seat_Capacity]]-Table1_1[[#This Row],[Passengers]]</f>
        <v>27</v>
      </c>
      <c r="K321">
        <v>85</v>
      </c>
      <c r="L321" t="str" cm="1">
        <f t="array" ref="L321">_xlfn.IFS(Table1_1[[#This Row],[Load_Factor_%]]&lt;60,"Low",Table1_1[[#This Row],[Load_Factor_%]]&lt;85,"Intermediate",Table1_1[[#This Row],[Load_Factor_%]]&gt;=85,"High")</f>
        <v>High</v>
      </c>
      <c r="M321" s="4">
        <v>1066754</v>
      </c>
      <c r="N321" s="4">
        <v>147758</v>
      </c>
      <c r="O321" s="4">
        <f>SUM(Table1_1[[#This Row],[Ticket_Revenue_INR]:[Cargo_Revenue_INR]])</f>
        <v>1214512</v>
      </c>
      <c r="P321" s="4">
        <v>488501</v>
      </c>
      <c r="Q321" s="4">
        <v>1101550</v>
      </c>
      <c r="R321" s="4">
        <f>SUM(Table1_1[[#This Row],[Fuel_Cost_INR]:[Operating_Cost_INR]])</f>
        <v>1590051</v>
      </c>
      <c r="S321" s="4">
        <f>Table1_1[[#This Row],[Total_Revenue]]-Table1_1[[#This Row],[Total_Cost]]</f>
        <v>-375539</v>
      </c>
      <c r="T321" s="9">
        <f>(Table1_1[[#This Row],[Total_Profit]]/Table1_1[[#This Row],[Total_Revenue]])</f>
        <v>-0.30920978961097134</v>
      </c>
      <c r="U321" s="5">
        <v>22</v>
      </c>
      <c r="V321" s="6" t="s">
        <v>18</v>
      </c>
      <c r="W321" s="8">
        <v>4.4000000000000004</v>
      </c>
      <c r="X321" t="str" cm="1">
        <f t="array" ref="X321">_xlfn.IFS(Table1_1[[#This Row],[Customer_Rating]]&lt;3,"Poor",Table1_1[[#This Row],[Customer_Rating]]&lt;4,"Good",Table1_1[[#This Row],[Customer_Rating]]&gt;=4,"Excellent")</f>
        <v>Excellent</v>
      </c>
    </row>
    <row r="322" spans="1:24" x14ac:dyDescent="0.35">
      <c r="A322" s="2" t="s">
        <v>568</v>
      </c>
      <c r="B322" s="3">
        <v>45800</v>
      </c>
      <c r="C322" s="3" t="str">
        <f>TEXT(Table1_1[[#This Row],[Date]],"YYYY")</f>
        <v>2025</v>
      </c>
      <c r="D322" s="3" t="str">
        <f>TEXT(Table1_1[[#This Row],[Date]],"mmm")</f>
        <v>May</v>
      </c>
      <c r="E322" s="2" t="s">
        <v>76</v>
      </c>
      <c r="F322" s="2" t="str">
        <f>INDEX(IndiGo_Flight_Data!$R$2:$R$11,MATCH(Table1_1[[#This Row],[Route]],_xlfn.ANCHORARRAY(IndiGo_Flight_Data!$Q$2),0))</f>
        <v>Madras - Delhi</v>
      </c>
      <c r="G322" s="2" t="s">
        <v>43</v>
      </c>
      <c r="H322">
        <v>154</v>
      </c>
      <c r="I322">
        <v>232</v>
      </c>
      <c r="J322">
        <f>Table1_1[[#This Row],[Seat_Capacity]]-Table1_1[[#This Row],[Passengers]]</f>
        <v>78</v>
      </c>
      <c r="K322">
        <v>66.38</v>
      </c>
      <c r="L322" t="str" cm="1">
        <f t="array" ref="L322">_xlfn.IFS(Table1_1[[#This Row],[Load_Factor_%]]&lt;60,"Low",Table1_1[[#This Row],[Load_Factor_%]]&lt;85,"Intermediate",Table1_1[[#This Row],[Load_Factor_%]]&gt;=85,"High")</f>
        <v>Intermediate</v>
      </c>
      <c r="M322" s="4">
        <v>1011925</v>
      </c>
      <c r="N322" s="4">
        <v>143421</v>
      </c>
      <c r="O322" s="4">
        <f>SUM(Table1_1[[#This Row],[Ticket_Revenue_INR]:[Cargo_Revenue_INR]])</f>
        <v>1155346</v>
      </c>
      <c r="P322" s="4">
        <v>689640</v>
      </c>
      <c r="Q322" s="4">
        <v>1373660</v>
      </c>
      <c r="R322" s="4">
        <f>SUM(Table1_1[[#This Row],[Fuel_Cost_INR]:[Operating_Cost_INR]])</f>
        <v>2063300</v>
      </c>
      <c r="S322" s="4">
        <f>Table1_1[[#This Row],[Total_Revenue]]-Table1_1[[#This Row],[Total_Cost]]</f>
        <v>-907954</v>
      </c>
      <c r="T322" s="9">
        <f>(Table1_1[[#This Row],[Total_Profit]]/Table1_1[[#This Row],[Total_Revenue]])</f>
        <v>-0.78587193793028232</v>
      </c>
      <c r="U322" s="5">
        <v>15</v>
      </c>
      <c r="V322" s="6" t="s">
        <v>33</v>
      </c>
      <c r="W322" s="8">
        <v>4.5999999999999996</v>
      </c>
      <c r="X322" t="str" cm="1">
        <f t="array" ref="X322">_xlfn.IFS(Table1_1[[#This Row],[Customer_Rating]]&lt;3,"Poor",Table1_1[[#This Row],[Customer_Rating]]&lt;4,"Good",Table1_1[[#This Row],[Customer_Rating]]&gt;=4,"Excellent")</f>
        <v>Excellent</v>
      </c>
    </row>
    <row r="323" spans="1:24" x14ac:dyDescent="0.35">
      <c r="A323" s="2" t="s">
        <v>570</v>
      </c>
      <c r="B323" s="3">
        <v>45976</v>
      </c>
      <c r="C323" s="3" t="str">
        <f>TEXT(Table1_1[[#This Row],[Date]],"YYYY")</f>
        <v>2025</v>
      </c>
      <c r="D323" s="3" t="str">
        <f>TEXT(Table1_1[[#This Row],[Date]],"mmm")</f>
        <v>Nov</v>
      </c>
      <c r="E323" s="2" t="s">
        <v>36</v>
      </c>
      <c r="F323" s="2" t="str">
        <f>INDEX(IndiGo_Flight_Data!$R$2:$R$11,MATCH(Table1_1[[#This Row],[Route]],_xlfn.ANCHORARRAY(IndiGo_Flight_Data!$Q$2),0))</f>
        <v>Delhi - Bombay</v>
      </c>
      <c r="G323" s="2" t="s">
        <v>43</v>
      </c>
      <c r="H323">
        <v>150</v>
      </c>
      <c r="I323">
        <v>232</v>
      </c>
      <c r="J323">
        <f>Table1_1[[#This Row],[Seat_Capacity]]-Table1_1[[#This Row],[Passengers]]</f>
        <v>82</v>
      </c>
      <c r="K323">
        <v>64.66</v>
      </c>
      <c r="L323" t="str" cm="1">
        <f t="array" ref="L323">_xlfn.IFS(Table1_1[[#This Row],[Load_Factor_%]]&lt;60,"Low",Table1_1[[#This Row],[Load_Factor_%]]&lt;85,"Intermediate",Table1_1[[#This Row],[Load_Factor_%]]&gt;=85,"High")</f>
        <v>Intermediate</v>
      </c>
      <c r="M323" s="4">
        <v>1194805</v>
      </c>
      <c r="N323" s="4">
        <v>105200</v>
      </c>
      <c r="O323" s="4">
        <f>SUM(Table1_1[[#This Row],[Ticket_Revenue_INR]:[Cargo_Revenue_INR]])</f>
        <v>1300005</v>
      </c>
      <c r="P323" s="4">
        <v>743672</v>
      </c>
      <c r="Q323" s="4">
        <v>1211424</v>
      </c>
      <c r="R323" s="4">
        <f>SUM(Table1_1[[#This Row],[Fuel_Cost_INR]:[Operating_Cost_INR]])</f>
        <v>1955096</v>
      </c>
      <c r="S323" s="4">
        <f>Table1_1[[#This Row],[Total_Revenue]]-Table1_1[[#This Row],[Total_Cost]]</f>
        <v>-655091</v>
      </c>
      <c r="T323" s="9">
        <f>(Table1_1[[#This Row],[Total_Profit]]/Table1_1[[#This Row],[Total_Revenue]])</f>
        <v>-0.50391421571455497</v>
      </c>
      <c r="U323" s="5">
        <v>14</v>
      </c>
      <c r="V323" s="6" t="s">
        <v>33</v>
      </c>
      <c r="W323" s="8">
        <v>4.3</v>
      </c>
      <c r="X323" t="str" cm="1">
        <f t="array" ref="X323">_xlfn.IFS(Table1_1[[#This Row],[Customer_Rating]]&lt;3,"Poor",Table1_1[[#This Row],[Customer_Rating]]&lt;4,"Good",Table1_1[[#This Row],[Customer_Rating]]&gt;=4,"Excellent")</f>
        <v>Excellent</v>
      </c>
    </row>
    <row r="324" spans="1:24" x14ac:dyDescent="0.35">
      <c r="A324" s="2" t="s">
        <v>572</v>
      </c>
      <c r="B324" s="3">
        <v>45833</v>
      </c>
      <c r="C324" s="3" t="str">
        <f>TEXT(Table1_1[[#This Row],[Date]],"YYYY")</f>
        <v>2025</v>
      </c>
      <c r="D324" s="3" t="str">
        <f>TEXT(Table1_1[[#This Row],[Date]],"mmm")</f>
        <v>Jun</v>
      </c>
      <c r="E324" s="2" t="s">
        <v>76</v>
      </c>
      <c r="F324" s="2" t="str">
        <f>INDEX(IndiGo_Flight_Data!$R$2:$R$11,MATCH(Table1_1[[#This Row],[Route]],_xlfn.ANCHORARRAY(IndiGo_Flight_Data!$Q$2),0))</f>
        <v>Madras - Delhi</v>
      </c>
      <c r="G324" s="2" t="s">
        <v>43</v>
      </c>
      <c r="H324">
        <v>180</v>
      </c>
      <c r="I324">
        <v>232</v>
      </c>
      <c r="J324">
        <f>Table1_1[[#This Row],[Seat_Capacity]]-Table1_1[[#This Row],[Passengers]]</f>
        <v>52</v>
      </c>
      <c r="K324">
        <v>77.59</v>
      </c>
      <c r="L324" t="str" cm="1">
        <f t="array" ref="L324">_xlfn.IFS(Table1_1[[#This Row],[Load_Factor_%]]&lt;60,"Low",Table1_1[[#This Row],[Load_Factor_%]]&lt;85,"Intermediate",Table1_1[[#This Row],[Load_Factor_%]]&gt;=85,"High")</f>
        <v>Intermediate</v>
      </c>
      <c r="M324" s="4">
        <v>1591711</v>
      </c>
      <c r="N324" s="4">
        <v>78655</v>
      </c>
      <c r="O324" s="4">
        <f>SUM(Table1_1[[#This Row],[Ticket_Revenue_INR]:[Cargo_Revenue_INR]])</f>
        <v>1670366</v>
      </c>
      <c r="P324" s="4">
        <v>1019432</v>
      </c>
      <c r="Q324" s="4">
        <v>1672821</v>
      </c>
      <c r="R324" s="4">
        <f>SUM(Table1_1[[#This Row],[Fuel_Cost_INR]:[Operating_Cost_INR]])</f>
        <v>2692253</v>
      </c>
      <c r="S324" s="4">
        <f>Table1_1[[#This Row],[Total_Revenue]]-Table1_1[[#This Row],[Total_Cost]]</f>
        <v>-1021887</v>
      </c>
      <c r="T324" s="9">
        <f>(Table1_1[[#This Row],[Total_Profit]]/Table1_1[[#This Row],[Total_Revenue]])</f>
        <v>-0.61177430575095515</v>
      </c>
      <c r="U324" s="5">
        <v>41</v>
      </c>
      <c r="V324" s="6" t="s">
        <v>18</v>
      </c>
      <c r="W324" s="8">
        <v>4.7</v>
      </c>
      <c r="X324" t="str" cm="1">
        <f t="array" ref="X324">_xlfn.IFS(Table1_1[[#This Row],[Customer_Rating]]&lt;3,"Poor",Table1_1[[#This Row],[Customer_Rating]]&lt;4,"Good",Table1_1[[#This Row],[Customer_Rating]]&gt;=4,"Excellent")</f>
        <v>Excellent</v>
      </c>
    </row>
    <row r="325" spans="1:24" x14ac:dyDescent="0.35">
      <c r="A325" s="2" t="s">
        <v>573</v>
      </c>
      <c r="B325" s="3">
        <v>45925</v>
      </c>
      <c r="C325" s="3" t="str">
        <f>TEXT(Table1_1[[#This Row],[Date]],"YYYY")</f>
        <v>2025</v>
      </c>
      <c r="D325" s="3" t="str">
        <f>TEXT(Table1_1[[#This Row],[Date]],"mmm")</f>
        <v>Sep</v>
      </c>
      <c r="E325" s="2" t="s">
        <v>16</v>
      </c>
      <c r="F325" s="2" t="str">
        <f>INDEX(IndiGo_Flight_Data!$R$2:$R$11,MATCH(Table1_1[[#This Row],[Route]],_xlfn.ANCHORARRAY(IndiGo_Flight_Data!$Q$2),0))</f>
        <v>Delhi - Goa</v>
      </c>
      <c r="G325" s="2" t="s">
        <v>17</v>
      </c>
      <c r="H325">
        <v>46</v>
      </c>
      <c r="I325">
        <v>78</v>
      </c>
      <c r="J325">
        <f>Table1_1[[#This Row],[Seat_Capacity]]-Table1_1[[#This Row],[Passengers]]</f>
        <v>32</v>
      </c>
      <c r="K325">
        <v>58.97</v>
      </c>
      <c r="L325" t="str" cm="1">
        <f t="array" ref="L325">_xlfn.IFS(Table1_1[[#This Row],[Load_Factor_%]]&lt;60,"Low",Table1_1[[#This Row],[Load_Factor_%]]&lt;85,"Intermediate",Table1_1[[#This Row],[Load_Factor_%]]&gt;=85,"High")</f>
        <v>Low</v>
      </c>
      <c r="M325" s="4">
        <v>346027</v>
      </c>
      <c r="N325" s="4">
        <v>100632</v>
      </c>
      <c r="O325" s="4">
        <f>SUM(Table1_1[[#This Row],[Ticket_Revenue_INR]:[Cargo_Revenue_INR]])</f>
        <v>446659</v>
      </c>
      <c r="P325" s="4">
        <v>858364</v>
      </c>
      <c r="Q325" s="4">
        <v>1404379</v>
      </c>
      <c r="R325" s="4">
        <f>SUM(Table1_1[[#This Row],[Fuel_Cost_INR]:[Operating_Cost_INR]])</f>
        <v>2262743</v>
      </c>
      <c r="S325" s="4">
        <f>Table1_1[[#This Row],[Total_Revenue]]-Table1_1[[#This Row],[Total_Cost]]</f>
        <v>-1816084</v>
      </c>
      <c r="T325" s="9">
        <f>(Table1_1[[#This Row],[Total_Profit]]/Table1_1[[#This Row],[Total_Revenue]])</f>
        <v>-4.0659294898345273</v>
      </c>
      <c r="U325" s="5">
        <v>90</v>
      </c>
      <c r="V325" s="6" t="s">
        <v>18</v>
      </c>
      <c r="W325" s="8">
        <v>4.5</v>
      </c>
      <c r="X325" t="str" cm="1">
        <f t="array" ref="X325">_xlfn.IFS(Table1_1[[#This Row],[Customer_Rating]]&lt;3,"Poor",Table1_1[[#This Row],[Customer_Rating]]&lt;4,"Good",Table1_1[[#This Row],[Customer_Rating]]&gt;=4,"Excellent")</f>
        <v>Excellent</v>
      </c>
    </row>
    <row r="326" spans="1:24" x14ac:dyDescent="0.35">
      <c r="A326" s="2" t="s">
        <v>575</v>
      </c>
      <c r="B326" s="3">
        <v>45847</v>
      </c>
      <c r="C326" s="3" t="str">
        <f>TEXT(Table1_1[[#This Row],[Date]],"YYYY")</f>
        <v>2025</v>
      </c>
      <c r="D326" s="3" t="str">
        <f>TEXT(Table1_1[[#This Row],[Date]],"mmm")</f>
        <v>Jul</v>
      </c>
      <c r="E326" s="2" t="s">
        <v>21</v>
      </c>
      <c r="F326" s="2" t="str">
        <f>INDEX(IndiGo_Flight_Data!$R$2:$R$11,MATCH(Table1_1[[#This Row],[Route]],_xlfn.ANCHORARRAY(IndiGo_Flight_Data!$Q$2),0))</f>
        <v>Bengaluru - Hyderabad</v>
      </c>
      <c r="G326" s="2" t="s">
        <v>43</v>
      </c>
      <c r="H326">
        <v>181</v>
      </c>
      <c r="I326">
        <v>232</v>
      </c>
      <c r="J326">
        <f>Table1_1[[#This Row],[Seat_Capacity]]-Table1_1[[#This Row],[Passengers]]</f>
        <v>51</v>
      </c>
      <c r="K326">
        <v>78.02</v>
      </c>
      <c r="L326" t="str" cm="1">
        <f t="array" ref="L326">_xlfn.IFS(Table1_1[[#This Row],[Load_Factor_%]]&lt;60,"Low",Table1_1[[#This Row],[Load_Factor_%]]&lt;85,"Intermediate",Table1_1[[#This Row],[Load_Factor_%]]&gt;=85,"High")</f>
        <v>Intermediate</v>
      </c>
      <c r="M326" s="4">
        <v>664712</v>
      </c>
      <c r="N326" s="4">
        <v>52119</v>
      </c>
      <c r="O326" s="4">
        <f>SUM(Table1_1[[#This Row],[Ticket_Revenue_INR]:[Cargo_Revenue_INR]])</f>
        <v>716831</v>
      </c>
      <c r="P326" s="4">
        <v>603685</v>
      </c>
      <c r="Q326" s="4">
        <v>725579</v>
      </c>
      <c r="R326" s="4">
        <f>SUM(Table1_1[[#This Row],[Fuel_Cost_INR]:[Operating_Cost_INR]])</f>
        <v>1329264</v>
      </c>
      <c r="S326" s="4">
        <f>Table1_1[[#This Row],[Total_Revenue]]-Table1_1[[#This Row],[Total_Cost]]</f>
        <v>-612433</v>
      </c>
      <c r="T326" s="9">
        <f>(Table1_1[[#This Row],[Total_Profit]]/Table1_1[[#This Row],[Total_Revenue]])</f>
        <v>-0.8543617672784799</v>
      </c>
      <c r="U326" s="5">
        <v>22</v>
      </c>
      <c r="V326" s="6" t="s">
        <v>18</v>
      </c>
      <c r="W326" s="8">
        <v>3.2</v>
      </c>
      <c r="X326" t="str" cm="1">
        <f t="array" ref="X326">_xlfn.IFS(Table1_1[[#This Row],[Customer_Rating]]&lt;3,"Poor",Table1_1[[#This Row],[Customer_Rating]]&lt;4,"Good",Table1_1[[#This Row],[Customer_Rating]]&gt;=4,"Excellent")</f>
        <v>Good</v>
      </c>
    </row>
    <row r="327" spans="1:24" x14ac:dyDescent="0.35">
      <c r="A327" s="2" t="s">
        <v>577</v>
      </c>
      <c r="B327" s="3">
        <v>45784</v>
      </c>
      <c r="C327" s="3" t="str">
        <f>TEXT(Table1_1[[#This Row],[Date]],"YYYY")</f>
        <v>2025</v>
      </c>
      <c r="D327" s="3" t="str">
        <f>TEXT(Table1_1[[#This Row],[Date]],"mmm")</f>
        <v>May</v>
      </c>
      <c r="E327" s="2" t="s">
        <v>36</v>
      </c>
      <c r="F327" s="2" t="str">
        <f>INDEX(IndiGo_Flight_Data!$R$2:$R$11,MATCH(Table1_1[[#This Row],[Route]],_xlfn.ANCHORARRAY(IndiGo_Flight_Data!$Q$2),0))</f>
        <v>Delhi - Bombay</v>
      </c>
      <c r="G327" s="2" t="s">
        <v>17</v>
      </c>
      <c r="H327">
        <v>71</v>
      </c>
      <c r="I327">
        <v>78</v>
      </c>
      <c r="J327">
        <f>Table1_1[[#This Row],[Seat_Capacity]]-Table1_1[[#This Row],[Passengers]]</f>
        <v>7</v>
      </c>
      <c r="K327">
        <v>91.03</v>
      </c>
      <c r="L327" t="str" cm="1">
        <f t="array" ref="L327">_xlfn.IFS(Table1_1[[#This Row],[Load_Factor_%]]&lt;60,"Low",Table1_1[[#This Row],[Load_Factor_%]]&lt;85,"Intermediate",Table1_1[[#This Row],[Load_Factor_%]]&gt;=85,"High")</f>
        <v>High</v>
      </c>
      <c r="M327" s="4">
        <v>419403</v>
      </c>
      <c r="N327" s="4">
        <v>147869</v>
      </c>
      <c r="O327" s="4">
        <f>SUM(Table1_1[[#This Row],[Ticket_Revenue_INR]:[Cargo_Revenue_INR]])</f>
        <v>567272</v>
      </c>
      <c r="P327" s="4">
        <v>982801</v>
      </c>
      <c r="Q327" s="4">
        <v>1177891</v>
      </c>
      <c r="R327" s="4">
        <f>SUM(Table1_1[[#This Row],[Fuel_Cost_INR]:[Operating_Cost_INR]])</f>
        <v>2160692</v>
      </c>
      <c r="S327" s="4">
        <f>Table1_1[[#This Row],[Total_Revenue]]-Table1_1[[#This Row],[Total_Cost]]</f>
        <v>-1593420</v>
      </c>
      <c r="T327" s="9">
        <f>(Table1_1[[#This Row],[Total_Profit]]/Table1_1[[#This Row],[Total_Revenue]])</f>
        <v>-2.8089170627141828</v>
      </c>
      <c r="U327" s="5">
        <v>9</v>
      </c>
      <c r="V327" s="6" t="s">
        <v>33</v>
      </c>
      <c r="W327" s="8">
        <v>3.8</v>
      </c>
      <c r="X327" t="str" cm="1">
        <f t="array" ref="X327">_xlfn.IFS(Table1_1[[#This Row],[Customer_Rating]]&lt;3,"Poor",Table1_1[[#This Row],[Customer_Rating]]&lt;4,"Good",Table1_1[[#This Row],[Customer_Rating]]&gt;=4,"Excellent")</f>
        <v>Good</v>
      </c>
    </row>
    <row r="328" spans="1:24" x14ac:dyDescent="0.35">
      <c r="A328" s="2" t="s">
        <v>578</v>
      </c>
      <c r="B328" s="3">
        <v>45675</v>
      </c>
      <c r="C328" s="3" t="str">
        <f>TEXT(Table1_1[[#This Row],[Date]],"YYYY")</f>
        <v>2025</v>
      </c>
      <c r="D328" s="3" t="str">
        <f>TEXT(Table1_1[[#This Row],[Date]],"mmm")</f>
        <v>Jan</v>
      </c>
      <c r="E328" s="2" t="s">
        <v>32</v>
      </c>
      <c r="F328" s="2" t="str">
        <f>INDEX(IndiGo_Flight_Data!$R$2:$R$11,MATCH(Table1_1[[#This Row],[Route]],_xlfn.ANCHORARRAY(IndiGo_Flight_Data!$Q$2),0))</f>
        <v>Bengaluru - Cochin</v>
      </c>
      <c r="G328" s="2" t="s">
        <v>24</v>
      </c>
      <c r="H328">
        <v>149</v>
      </c>
      <c r="I328">
        <v>180</v>
      </c>
      <c r="J328">
        <f>Table1_1[[#This Row],[Seat_Capacity]]-Table1_1[[#This Row],[Passengers]]</f>
        <v>31</v>
      </c>
      <c r="K328">
        <v>82.78</v>
      </c>
      <c r="L328" t="str" cm="1">
        <f t="array" ref="L328">_xlfn.IFS(Table1_1[[#This Row],[Load_Factor_%]]&lt;60,"Low",Table1_1[[#This Row],[Load_Factor_%]]&lt;85,"Intermediate",Table1_1[[#This Row],[Load_Factor_%]]&gt;=85,"High")</f>
        <v>Intermediate</v>
      </c>
      <c r="M328" s="4">
        <v>1217669</v>
      </c>
      <c r="N328" s="4">
        <v>118740</v>
      </c>
      <c r="O328" s="4">
        <f>SUM(Table1_1[[#This Row],[Ticket_Revenue_INR]:[Cargo_Revenue_INR]])</f>
        <v>1336409</v>
      </c>
      <c r="P328" s="4">
        <v>647330</v>
      </c>
      <c r="Q328" s="4">
        <v>868077</v>
      </c>
      <c r="R328" s="4">
        <f>SUM(Table1_1[[#This Row],[Fuel_Cost_INR]:[Operating_Cost_INR]])</f>
        <v>1515407</v>
      </c>
      <c r="S328" s="4">
        <f>Table1_1[[#This Row],[Total_Revenue]]-Table1_1[[#This Row],[Total_Cost]]</f>
        <v>-178998</v>
      </c>
      <c r="T328" s="9">
        <f>(Table1_1[[#This Row],[Total_Profit]]/Table1_1[[#This Row],[Total_Revenue]])</f>
        <v>-0.13393953497769021</v>
      </c>
      <c r="U328" s="5">
        <v>22</v>
      </c>
      <c r="V328" s="6" t="s">
        <v>18</v>
      </c>
      <c r="W328" s="8">
        <v>4.0999999999999996</v>
      </c>
      <c r="X328" t="str" cm="1">
        <f t="array" ref="X328">_xlfn.IFS(Table1_1[[#This Row],[Customer_Rating]]&lt;3,"Poor",Table1_1[[#This Row],[Customer_Rating]]&lt;4,"Good",Table1_1[[#This Row],[Customer_Rating]]&gt;=4,"Excellent")</f>
        <v>Excellent</v>
      </c>
    </row>
    <row r="329" spans="1:24" x14ac:dyDescent="0.35">
      <c r="A329" s="2" t="s">
        <v>580</v>
      </c>
      <c r="B329" s="3">
        <v>45961</v>
      </c>
      <c r="C329" s="3" t="str">
        <f>TEXT(Table1_1[[#This Row],[Date]],"YYYY")</f>
        <v>2025</v>
      </c>
      <c r="D329" s="3" t="str">
        <f>TEXT(Table1_1[[#This Row],[Date]],"mmm")</f>
        <v>Oct</v>
      </c>
      <c r="E329" s="2" t="s">
        <v>32</v>
      </c>
      <c r="F329" s="2" t="str">
        <f>INDEX(IndiGo_Flight_Data!$R$2:$R$11,MATCH(Table1_1[[#This Row],[Route]],_xlfn.ANCHORARRAY(IndiGo_Flight_Data!$Q$2),0))</f>
        <v>Bengaluru - Cochin</v>
      </c>
      <c r="G329" s="2" t="s">
        <v>43</v>
      </c>
      <c r="H329">
        <v>210</v>
      </c>
      <c r="I329">
        <v>232</v>
      </c>
      <c r="J329">
        <f>Table1_1[[#This Row],[Seat_Capacity]]-Table1_1[[#This Row],[Passengers]]</f>
        <v>22</v>
      </c>
      <c r="K329">
        <v>90.52</v>
      </c>
      <c r="L329" t="str" cm="1">
        <f t="array" ref="L329">_xlfn.IFS(Table1_1[[#This Row],[Load_Factor_%]]&lt;60,"Low",Table1_1[[#This Row],[Load_Factor_%]]&lt;85,"Intermediate",Table1_1[[#This Row],[Load_Factor_%]]&gt;=85,"High")</f>
        <v>High</v>
      </c>
      <c r="M329" s="4">
        <v>1193658</v>
      </c>
      <c r="N329" s="4">
        <v>44871</v>
      </c>
      <c r="O329" s="4">
        <f>SUM(Table1_1[[#This Row],[Ticket_Revenue_INR]:[Cargo_Revenue_INR]])</f>
        <v>1238529</v>
      </c>
      <c r="P329" s="4">
        <v>1164237</v>
      </c>
      <c r="Q329" s="4">
        <v>1564845</v>
      </c>
      <c r="R329" s="4">
        <f>SUM(Table1_1[[#This Row],[Fuel_Cost_INR]:[Operating_Cost_INR]])</f>
        <v>2729082</v>
      </c>
      <c r="S329" s="4">
        <f>Table1_1[[#This Row],[Total_Revenue]]-Table1_1[[#This Row],[Total_Cost]]</f>
        <v>-1490553</v>
      </c>
      <c r="T329" s="9">
        <f>(Table1_1[[#This Row],[Total_Profit]]/Table1_1[[#This Row],[Total_Revenue]])</f>
        <v>-1.2034865554217948</v>
      </c>
      <c r="U329" s="5">
        <v>18</v>
      </c>
      <c r="V329" s="6" t="s">
        <v>18</v>
      </c>
      <c r="W329" s="8">
        <v>4.8</v>
      </c>
      <c r="X329" t="str" cm="1">
        <f t="array" ref="X329">_xlfn.IFS(Table1_1[[#This Row],[Customer_Rating]]&lt;3,"Poor",Table1_1[[#This Row],[Customer_Rating]]&lt;4,"Good",Table1_1[[#This Row],[Customer_Rating]]&gt;=4,"Excellent")</f>
        <v>Excellent</v>
      </c>
    </row>
    <row r="330" spans="1:24" x14ac:dyDescent="0.35">
      <c r="A330" s="2" t="s">
        <v>581</v>
      </c>
      <c r="B330" s="3">
        <v>45893</v>
      </c>
      <c r="C330" s="3" t="str">
        <f>TEXT(Table1_1[[#This Row],[Date]],"YYYY")</f>
        <v>2025</v>
      </c>
      <c r="D330" s="3" t="str">
        <f>TEXT(Table1_1[[#This Row],[Date]],"mmm")</f>
        <v>Aug</v>
      </c>
      <c r="E330" s="2" t="s">
        <v>32</v>
      </c>
      <c r="F330" s="2" t="str">
        <f>INDEX(IndiGo_Flight_Data!$R$2:$R$11,MATCH(Table1_1[[#This Row],[Route]],_xlfn.ANCHORARRAY(IndiGo_Flight_Data!$Q$2),0))</f>
        <v>Bengaluru - Cochin</v>
      </c>
      <c r="G330" s="2" t="s">
        <v>17</v>
      </c>
      <c r="H330">
        <v>53</v>
      </c>
      <c r="I330">
        <v>78</v>
      </c>
      <c r="J330">
        <f>Table1_1[[#This Row],[Seat_Capacity]]-Table1_1[[#This Row],[Passengers]]</f>
        <v>25</v>
      </c>
      <c r="K330">
        <v>67.95</v>
      </c>
      <c r="L330" t="str" cm="1">
        <f t="array" ref="L330">_xlfn.IFS(Table1_1[[#This Row],[Load_Factor_%]]&lt;60,"Low",Table1_1[[#This Row],[Load_Factor_%]]&lt;85,"Intermediate",Table1_1[[#This Row],[Load_Factor_%]]&gt;=85,"High")</f>
        <v>Intermediate</v>
      </c>
      <c r="M330" s="4">
        <v>202659</v>
      </c>
      <c r="N330" s="4">
        <v>42464</v>
      </c>
      <c r="O330" s="4">
        <f>SUM(Table1_1[[#This Row],[Ticket_Revenue_INR]:[Cargo_Revenue_INR]])</f>
        <v>245123</v>
      </c>
      <c r="P330" s="4">
        <v>378084</v>
      </c>
      <c r="Q330" s="4">
        <v>678474</v>
      </c>
      <c r="R330" s="4">
        <f>SUM(Table1_1[[#This Row],[Fuel_Cost_INR]:[Operating_Cost_INR]])</f>
        <v>1056558</v>
      </c>
      <c r="S330" s="4">
        <f>Table1_1[[#This Row],[Total_Revenue]]-Table1_1[[#This Row],[Total_Cost]]</f>
        <v>-811435</v>
      </c>
      <c r="T330" s="9">
        <f>(Table1_1[[#This Row],[Total_Profit]]/Table1_1[[#This Row],[Total_Revenue]])</f>
        <v>-3.3103176772477489</v>
      </c>
      <c r="U330" s="5">
        <v>20</v>
      </c>
      <c r="V330" s="6" t="s">
        <v>18</v>
      </c>
      <c r="W330" s="8">
        <v>4.7</v>
      </c>
      <c r="X330" t="str" cm="1">
        <f t="array" ref="X330">_xlfn.IFS(Table1_1[[#This Row],[Customer_Rating]]&lt;3,"Poor",Table1_1[[#This Row],[Customer_Rating]]&lt;4,"Good",Table1_1[[#This Row],[Customer_Rating]]&gt;=4,"Excellent")</f>
        <v>Excellent</v>
      </c>
    </row>
    <row r="331" spans="1:24" x14ac:dyDescent="0.35">
      <c r="A331" s="2" t="s">
        <v>582</v>
      </c>
      <c r="B331" s="3">
        <v>45975</v>
      </c>
      <c r="C331" s="3" t="str">
        <f>TEXT(Table1_1[[#This Row],[Date]],"YYYY")</f>
        <v>2025</v>
      </c>
      <c r="D331" s="3" t="str">
        <f>TEXT(Table1_1[[#This Row],[Date]],"mmm")</f>
        <v>Nov</v>
      </c>
      <c r="E331" s="2" t="s">
        <v>39</v>
      </c>
      <c r="F331" s="2" t="str">
        <f>INDEX(IndiGo_Flight_Data!$R$2:$R$11,MATCH(Table1_1[[#This Row],[Route]],_xlfn.ANCHORARRAY(IndiGo_Flight_Data!$Q$2),0))</f>
        <v>Bengaluru - Delhi</v>
      </c>
      <c r="G331" s="2" t="s">
        <v>24</v>
      </c>
      <c r="H331">
        <v>152</v>
      </c>
      <c r="I331">
        <v>180</v>
      </c>
      <c r="J331">
        <f>Table1_1[[#This Row],[Seat_Capacity]]-Table1_1[[#This Row],[Passengers]]</f>
        <v>28</v>
      </c>
      <c r="K331">
        <v>84.44</v>
      </c>
      <c r="L331" t="str" cm="1">
        <f t="array" ref="L331">_xlfn.IFS(Table1_1[[#This Row],[Load_Factor_%]]&lt;60,"Low",Table1_1[[#This Row],[Load_Factor_%]]&lt;85,"Intermediate",Table1_1[[#This Row],[Load_Factor_%]]&gt;=85,"High")</f>
        <v>Intermediate</v>
      </c>
      <c r="M331" s="4">
        <v>951386</v>
      </c>
      <c r="N331" s="4">
        <v>130636</v>
      </c>
      <c r="O331" s="4">
        <f>SUM(Table1_1[[#This Row],[Ticket_Revenue_INR]:[Cargo_Revenue_INR]])</f>
        <v>1082022</v>
      </c>
      <c r="P331" s="4">
        <v>919637</v>
      </c>
      <c r="Q331" s="4">
        <v>1212042</v>
      </c>
      <c r="R331" s="4">
        <f>SUM(Table1_1[[#This Row],[Fuel_Cost_INR]:[Operating_Cost_INR]])</f>
        <v>2131679</v>
      </c>
      <c r="S331" s="4">
        <f>Table1_1[[#This Row],[Total_Revenue]]-Table1_1[[#This Row],[Total_Cost]]</f>
        <v>-1049657</v>
      </c>
      <c r="T331" s="9">
        <f>(Table1_1[[#This Row],[Total_Profit]]/Table1_1[[#This Row],[Total_Revenue]])</f>
        <v>-0.97008840855361533</v>
      </c>
      <c r="U331" s="5">
        <v>81</v>
      </c>
      <c r="V331" s="6" t="s">
        <v>18</v>
      </c>
      <c r="W331" s="8">
        <v>3.6</v>
      </c>
      <c r="X331" t="str" cm="1">
        <f t="array" ref="X331">_xlfn.IFS(Table1_1[[#This Row],[Customer_Rating]]&lt;3,"Poor",Table1_1[[#This Row],[Customer_Rating]]&lt;4,"Good",Table1_1[[#This Row],[Customer_Rating]]&gt;=4,"Excellent")</f>
        <v>Good</v>
      </c>
    </row>
    <row r="332" spans="1:24" x14ac:dyDescent="0.35">
      <c r="A332" s="2" t="s">
        <v>584</v>
      </c>
      <c r="B332" s="3">
        <v>45782</v>
      </c>
      <c r="C332" s="3" t="str">
        <f>TEXT(Table1_1[[#This Row],[Date]],"YYYY")</f>
        <v>2025</v>
      </c>
      <c r="D332" s="3" t="str">
        <f>TEXT(Table1_1[[#This Row],[Date]],"mmm")</f>
        <v>May</v>
      </c>
      <c r="E332" s="2" t="s">
        <v>39</v>
      </c>
      <c r="F332" s="2" t="str">
        <f>INDEX(IndiGo_Flight_Data!$R$2:$R$11,MATCH(Table1_1[[#This Row],[Route]],_xlfn.ANCHORARRAY(IndiGo_Flight_Data!$Q$2),0))</f>
        <v>Bengaluru - Delhi</v>
      </c>
      <c r="G332" s="2" t="s">
        <v>17</v>
      </c>
      <c r="H332">
        <v>62</v>
      </c>
      <c r="I332">
        <v>78</v>
      </c>
      <c r="J332">
        <f>Table1_1[[#This Row],[Seat_Capacity]]-Table1_1[[#This Row],[Passengers]]</f>
        <v>16</v>
      </c>
      <c r="K332">
        <v>79.489999999999995</v>
      </c>
      <c r="L332" t="str" cm="1">
        <f t="array" ref="L332">_xlfn.IFS(Table1_1[[#This Row],[Load_Factor_%]]&lt;60,"Low",Table1_1[[#This Row],[Load_Factor_%]]&lt;85,"Intermediate",Table1_1[[#This Row],[Load_Factor_%]]&gt;=85,"High")</f>
        <v>Intermediate</v>
      </c>
      <c r="M332" s="4">
        <v>302006</v>
      </c>
      <c r="N332" s="4">
        <v>144104</v>
      </c>
      <c r="O332" s="4">
        <f>SUM(Table1_1[[#This Row],[Ticket_Revenue_INR]:[Cargo_Revenue_INR]])</f>
        <v>446110</v>
      </c>
      <c r="P332" s="4">
        <v>369063</v>
      </c>
      <c r="Q332" s="4">
        <v>516301</v>
      </c>
      <c r="R332" s="4">
        <f>SUM(Table1_1[[#This Row],[Fuel_Cost_INR]:[Operating_Cost_INR]])</f>
        <v>885364</v>
      </c>
      <c r="S332" s="4">
        <f>Table1_1[[#This Row],[Total_Revenue]]-Table1_1[[#This Row],[Total_Cost]]</f>
        <v>-439254</v>
      </c>
      <c r="T332" s="9">
        <f>(Table1_1[[#This Row],[Total_Profit]]/Table1_1[[#This Row],[Total_Revenue]])</f>
        <v>-0.98463159310483961</v>
      </c>
      <c r="U332" s="5">
        <v>19</v>
      </c>
      <c r="V332" s="6" t="s">
        <v>18</v>
      </c>
      <c r="W332" s="8">
        <v>4.0999999999999996</v>
      </c>
      <c r="X332" t="str" cm="1">
        <f t="array" ref="X332">_xlfn.IFS(Table1_1[[#This Row],[Customer_Rating]]&lt;3,"Poor",Table1_1[[#This Row],[Customer_Rating]]&lt;4,"Good",Table1_1[[#This Row],[Customer_Rating]]&gt;=4,"Excellent")</f>
        <v>Excellent</v>
      </c>
    </row>
    <row r="333" spans="1:24" x14ac:dyDescent="0.35">
      <c r="A333" s="2" t="s">
        <v>585</v>
      </c>
      <c r="B333" s="3">
        <v>45852</v>
      </c>
      <c r="C333" s="3" t="str">
        <f>TEXT(Table1_1[[#This Row],[Date]],"YYYY")</f>
        <v>2025</v>
      </c>
      <c r="D333" s="3" t="str">
        <f>TEXT(Table1_1[[#This Row],[Date]],"mmm")</f>
        <v>Jul</v>
      </c>
      <c r="E333" s="2" t="s">
        <v>42</v>
      </c>
      <c r="F333" s="2" t="str">
        <f>INDEX(IndiGo_Flight_Data!$R$2:$R$11,MATCH(Table1_1[[#This Row],[Route]],_xlfn.ANCHORARRAY(IndiGo_Flight_Data!$Q$2),0))</f>
        <v>Bombay - Hyderabad</v>
      </c>
      <c r="G333" s="2" t="s">
        <v>17</v>
      </c>
      <c r="H333">
        <v>68</v>
      </c>
      <c r="I333">
        <v>78</v>
      </c>
      <c r="J333">
        <f>Table1_1[[#This Row],[Seat_Capacity]]-Table1_1[[#This Row],[Passengers]]</f>
        <v>10</v>
      </c>
      <c r="K333">
        <v>87.18</v>
      </c>
      <c r="L333" t="str" cm="1">
        <f t="array" ref="L333">_xlfn.IFS(Table1_1[[#This Row],[Load_Factor_%]]&lt;60,"Low",Table1_1[[#This Row],[Load_Factor_%]]&lt;85,"Intermediate",Table1_1[[#This Row],[Load_Factor_%]]&gt;=85,"High")</f>
        <v>High</v>
      </c>
      <c r="M333" s="4">
        <v>383261</v>
      </c>
      <c r="N333" s="4">
        <v>57527</v>
      </c>
      <c r="O333" s="4">
        <f>SUM(Table1_1[[#This Row],[Ticket_Revenue_INR]:[Cargo_Revenue_INR]])</f>
        <v>440788</v>
      </c>
      <c r="P333" s="4">
        <v>273280</v>
      </c>
      <c r="Q333" s="4">
        <v>697053</v>
      </c>
      <c r="R333" s="4">
        <f>SUM(Table1_1[[#This Row],[Fuel_Cost_INR]:[Operating_Cost_INR]])</f>
        <v>970333</v>
      </c>
      <c r="S333" s="4">
        <f>Table1_1[[#This Row],[Total_Revenue]]-Table1_1[[#This Row],[Total_Cost]]</f>
        <v>-529545</v>
      </c>
      <c r="T333" s="9">
        <f>(Table1_1[[#This Row],[Total_Profit]]/Table1_1[[#This Row],[Total_Revenue]])</f>
        <v>-1.2013598373821428</v>
      </c>
      <c r="U333" s="5">
        <v>40</v>
      </c>
      <c r="V333" s="6" t="s">
        <v>18</v>
      </c>
      <c r="W333" s="8">
        <v>3.6</v>
      </c>
      <c r="X333" t="str" cm="1">
        <f t="array" ref="X333">_xlfn.IFS(Table1_1[[#This Row],[Customer_Rating]]&lt;3,"Poor",Table1_1[[#This Row],[Customer_Rating]]&lt;4,"Good",Table1_1[[#This Row],[Customer_Rating]]&gt;=4,"Excellent")</f>
        <v>Good</v>
      </c>
    </row>
    <row r="334" spans="1:24" x14ac:dyDescent="0.35">
      <c r="A334" s="2" t="s">
        <v>586</v>
      </c>
      <c r="B334" s="3">
        <v>45980</v>
      </c>
      <c r="C334" s="3" t="str">
        <f>TEXT(Table1_1[[#This Row],[Date]],"YYYY")</f>
        <v>2025</v>
      </c>
      <c r="D334" s="3" t="str">
        <f>TEXT(Table1_1[[#This Row],[Date]],"mmm")</f>
        <v>Nov</v>
      </c>
      <c r="E334" s="2" t="s">
        <v>59</v>
      </c>
      <c r="F334" s="2" t="str">
        <f>INDEX(IndiGo_Flight_Data!$R$2:$R$11,MATCH(Table1_1[[#This Row],[Route]],_xlfn.ANCHORARRAY(IndiGo_Flight_Data!$Q$2),0))</f>
        <v>Bengaluru - Bombay</v>
      </c>
      <c r="G334" s="2" t="s">
        <v>17</v>
      </c>
      <c r="H334">
        <v>61</v>
      </c>
      <c r="I334">
        <v>78</v>
      </c>
      <c r="J334">
        <f>Table1_1[[#This Row],[Seat_Capacity]]-Table1_1[[#This Row],[Passengers]]</f>
        <v>17</v>
      </c>
      <c r="K334">
        <v>78.209999999999994</v>
      </c>
      <c r="L334" t="str" cm="1">
        <f t="array" ref="L334">_xlfn.IFS(Table1_1[[#This Row],[Load_Factor_%]]&lt;60,"Low",Table1_1[[#This Row],[Load_Factor_%]]&lt;85,"Intermediate",Table1_1[[#This Row],[Load_Factor_%]]&gt;=85,"High")</f>
        <v>Intermediate</v>
      </c>
      <c r="M334" s="4">
        <v>516541</v>
      </c>
      <c r="N334" s="4">
        <v>42621</v>
      </c>
      <c r="O334" s="4">
        <f>SUM(Table1_1[[#This Row],[Ticket_Revenue_INR]:[Cargo_Revenue_INR]])</f>
        <v>559162</v>
      </c>
      <c r="P334" s="4">
        <v>528625</v>
      </c>
      <c r="Q334" s="4">
        <v>699284</v>
      </c>
      <c r="R334" s="4">
        <f>SUM(Table1_1[[#This Row],[Fuel_Cost_INR]:[Operating_Cost_INR]])</f>
        <v>1227909</v>
      </c>
      <c r="S334" s="4">
        <f>Table1_1[[#This Row],[Total_Revenue]]-Table1_1[[#This Row],[Total_Cost]]</f>
        <v>-668747</v>
      </c>
      <c r="T334" s="9">
        <f>(Table1_1[[#This Row],[Total_Profit]]/Table1_1[[#This Row],[Total_Revenue]])</f>
        <v>-1.1959807712255124</v>
      </c>
      <c r="U334" s="5">
        <v>0</v>
      </c>
      <c r="V334" s="6" t="s">
        <v>33</v>
      </c>
      <c r="W334" s="8">
        <v>4</v>
      </c>
      <c r="X334" t="str" cm="1">
        <f t="array" ref="X334">_xlfn.IFS(Table1_1[[#This Row],[Customer_Rating]]&lt;3,"Poor",Table1_1[[#This Row],[Customer_Rating]]&lt;4,"Good",Table1_1[[#This Row],[Customer_Rating]]&gt;=4,"Excellent")</f>
        <v>Excellent</v>
      </c>
    </row>
    <row r="335" spans="1:24" x14ac:dyDescent="0.35">
      <c r="A335" s="2" t="s">
        <v>587</v>
      </c>
      <c r="B335" s="3">
        <v>45901</v>
      </c>
      <c r="C335" s="3" t="str">
        <f>TEXT(Table1_1[[#This Row],[Date]],"YYYY")</f>
        <v>2025</v>
      </c>
      <c r="D335" s="3" t="str">
        <f>TEXT(Table1_1[[#This Row],[Date]],"mmm")</f>
        <v>Sep</v>
      </c>
      <c r="E335" s="2" t="s">
        <v>29</v>
      </c>
      <c r="F335" s="2" t="str">
        <f>INDEX(IndiGo_Flight_Data!$R$2:$R$11,MATCH(Table1_1[[#This Row],[Route]],_xlfn.ANCHORARRAY(IndiGo_Flight_Data!$Q$2),0))</f>
        <v>Calacatta - Delhi</v>
      </c>
      <c r="G335" s="2" t="s">
        <v>43</v>
      </c>
      <c r="H335">
        <v>201</v>
      </c>
      <c r="I335">
        <v>232</v>
      </c>
      <c r="J335">
        <f>Table1_1[[#This Row],[Seat_Capacity]]-Table1_1[[#This Row],[Passengers]]</f>
        <v>31</v>
      </c>
      <c r="K335">
        <v>86.64</v>
      </c>
      <c r="L335" t="str" cm="1">
        <f t="array" ref="L335">_xlfn.IFS(Table1_1[[#This Row],[Load_Factor_%]]&lt;60,"Low",Table1_1[[#This Row],[Load_Factor_%]]&lt;85,"Intermediate",Table1_1[[#This Row],[Load_Factor_%]]&gt;=85,"High")</f>
        <v>High</v>
      </c>
      <c r="M335" s="4">
        <v>1044828</v>
      </c>
      <c r="N335" s="4">
        <v>69059</v>
      </c>
      <c r="O335" s="4">
        <f>SUM(Table1_1[[#This Row],[Ticket_Revenue_INR]:[Cargo_Revenue_INR]])</f>
        <v>1113887</v>
      </c>
      <c r="P335" s="4">
        <v>1003158</v>
      </c>
      <c r="Q335" s="4">
        <v>1555907</v>
      </c>
      <c r="R335" s="4">
        <f>SUM(Table1_1[[#This Row],[Fuel_Cost_INR]:[Operating_Cost_INR]])</f>
        <v>2559065</v>
      </c>
      <c r="S335" s="4">
        <f>Table1_1[[#This Row],[Total_Revenue]]-Table1_1[[#This Row],[Total_Cost]]</f>
        <v>-1445178</v>
      </c>
      <c r="T335" s="9">
        <f>(Table1_1[[#This Row],[Total_Profit]]/Table1_1[[#This Row],[Total_Revenue]])</f>
        <v>-1.2974188584658946</v>
      </c>
      <c r="U335" s="5">
        <v>32</v>
      </c>
      <c r="V335" s="6" t="s">
        <v>18</v>
      </c>
      <c r="W335" s="8">
        <v>4.4000000000000004</v>
      </c>
      <c r="X335" t="str" cm="1">
        <f t="array" ref="X335">_xlfn.IFS(Table1_1[[#This Row],[Customer_Rating]]&lt;3,"Poor",Table1_1[[#This Row],[Customer_Rating]]&lt;4,"Good",Table1_1[[#This Row],[Customer_Rating]]&gt;=4,"Excellent")</f>
        <v>Excellent</v>
      </c>
    </row>
    <row r="336" spans="1:24" x14ac:dyDescent="0.35">
      <c r="A336" s="2" t="s">
        <v>589</v>
      </c>
      <c r="B336" s="3">
        <v>46012</v>
      </c>
      <c r="C336" s="3" t="str">
        <f>TEXT(Table1_1[[#This Row],[Date]],"YYYY")</f>
        <v>2025</v>
      </c>
      <c r="D336" s="3" t="str">
        <f>TEXT(Table1_1[[#This Row],[Date]],"mmm")</f>
        <v>Dec</v>
      </c>
      <c r="E336" s="2" t="s">
        <v>42</v>
      </c>
      <c r="F336" s="2" t="str">
        <f>INDEX(IndiGo_Flight_Data!$R$2:$R$11,MATCH(Table1_1[[#This Row],[Route]],_xlfn.ANCHORARRAY(IndiGo_Flight_Data!$Q$2),0))</f>
        <v>Bombay - Hyderabad</v>
      </c>
      <c r="G336" s="2" t="s">
        <v>17</v>
      </c>
      <c r="H336">
        <v>62</v>
      </c>
      <c r="I336">
        <v>78</v>
      </c>
      <c r="J336">
        <f>Table1_1[[#This Row],[Seat_Capacity]]-Table1_1[[#This Row],[Passengers]]</f>
        <v>16</v>
      </c>
      <c r="K336">
        <v>79.489999999999995</v>
      </c>
      <c r="L336" t="str" cm="1">
        <f t="array" ref="L336">_xlfn.IFS(Table1_1[[#This Row],[Load_Factor_%]]&lt;60,"Low",Table1_1[[#This Row],[Load_Factor_%]]&lt;85,"Intermediate",Table1_1[[#This Row],[Load_Factor_%]]&gt;=85,"High")</f>
        <v>Intermediate</v>
      </c>
      <c r="M336" s="4">
        <v>417357</v>
      </c>
      <c r="N336" s="4">
        <v>141457</v>
      </c>
      <c r="O336" s="4">
        <f>SUM(Table1_1[[#This Row],[Ticket_Revenue_INR]:[Cargo_Revenue_INR]])</f>
        <v>558814</v>
      </c>
      <c r="P336" s="4">
        <v>318572</v>
      </c>
      <c r="Q336" s="4">
        <v>977134</v>
      </c>
      <c r="R336" s="4">
        <f>SUM(Table1_1[[#This Row],[Fuel_Cost_INR]:[Operating_Cost_INR]])</f>
        <v>1295706</v>
      </c>
      <c r="S336" s="4">
        <f>Table1_1[[#This Row],[Total_Revenue]]-Table1_1[[#This Row],[Total_Cost]]</f>
        <v>-736892</v>
      </c>
      <c r="T336" s="9">
        <f>(Table1_1[[#This Row],[Total_Profit]]/Table1_1[[#This Row],[Total_Revenue]])</f>
        <v>-1.318671328921609</v>
      </c>
      <c r="U336" s="5">
        <v>69</v>
      </c>
      <c r="V336" s="6" t="s">
        <v>18</v>
      </c>
      <c r="W336" s="8">
        <v>4.7</v>
      </c>
      <c r="X336" t="str" cm="1">
        <f t="array" ref="X336">_xlfn.IFS(Table1_1[[#This Row],[Customer_Rating]]&lt;3,"Poor",Table1_1[[#This Row],[Customer_Rating]]&lt;4,"Good",Table1_1[[#This Row],[Customer_Rating]]&gt;=4,"Excellent")</f>
        <v>Excellent</v>
      </c>
    </row>
    <row r="337" spans="1:24" x14ac:dyDescent="0.35">
      <c r="A337" s="2" t="s">
        <v>590</v>
      </c>
      <c r="B337" s="3">
        <v>46006</v>
      </c>
      <c r="C337" s="3" t="str">
        <f>TEXT(Table1_1[[#This Row],[Date]],"YYYY")</f>
        <v>2025</v>
      </c>
      <c r="D337" s="3" t="str">
        <f>TEXT(Table1_1[[#This Row],[Date]],"mmm")</f>
        <v>Dec</v>
      </c>
      <c r="E337" s="2" t="s">
        <v>21</v>
      </c>
      <c r="F337" s="2" t="str">
        <f>INDEX(IndiGo_Flight_Data!$R$2:$R$11,MATCH(Table1_1[[#This Row],[Route]],_xlfn.ANCHORARRAY(IndiGo_Flight_Data!$Q$2),0))</f>
        <v>Bengaluru - Hyderabad</v>
      </c>
      <c r="G337" s="2" t="s">
        <v>17</v>
      </c>
      <c r="H337">
        <v>53</v>
      </c>
      <c r="I337">
        <v>78</v>
      </c>
      <c r="J337">
        <f>Table1_1[[#This Row],[Seat_Capacity]]-Table1_1[[#This Row],[Passengers]]</f>
        <v>25</v>
      </c>
      <c r="K337">
        <v>67.95</v>
      </c>
      <c r="L337" t="str" cm="1">
        <f t="array" ref="L337">_xlfn.IFS(Table1_1[[#This Row],[Load_Factor_%]]&lt;60,"Low",Table1_1[[#This Row],[Load_Factor_%]]&lt;85,"Intermediate",Table1_1[[#This Row],[Load_Factor_%]]&gt;=85,"High")</f>
        <v>Intermediate</v>
      </c>
      <c r="M337" s="4">
        <v>467368</v>
      </c>
      <c r="N337" s="4">
        <v>80937</v>
      </c>
      <c r="O337" s="4">
        <f>SUM(Table1_1[[#This Row],[Ticket_Revenue_INR]:[Cargo_Revenue_INR]])</f>
        <v>548305</v>
      </c>
      <c r="P337" s="4">
        <v>449455</v>
      </c>
      <c r="Q337" s="4">
        <v>1146918</v>
      </c>
      <c r="R337" s="4">
        <f>SUM(Table1_1[[#This Row],[Fuel_Cost_INR]:[Operating_Cost_INR]])</f>
        <v>1596373</v>
      </c>
      <c r="S337" s="4">
        <f>Table1_1[[#This Row],[Total_Revenue]]-Table1_1[[#This Row],[Total_Cost]]</f>
        <v>-1048068</v>
      </c>
      <c r="T337" s="9">
        <f>(Table1_1[[#This Row],[Total_Profit]]/Table1_1[[#This Row],[Total_Revenue]])</f>
        <v>-1.9114689816799044</v>
      </c>
      <c r="U337" s="5">
        <v>60</v>
      </c>
      <c r="V337" s="6" t="s">
        <v>18</v>
      </c>
      <c r="W337" s="8">
        <v>4.4000000000000004</v>
      </c>
      <c r="X337" t="str" cm="1">
        <f t="array" ref="X337">_xlfn.IFS(Table1_1[[#This Row],[Customer_Rating]]&lt;3,"Poor",Table1_1[[#This Row],[Customer_Rating]]&lt;4,"Good",Table1_1[[#This Row],[Customer_Rating]]&gt;=4,"Excellent")</f>
        <v>Excellent</v>
      </c>
    </row>
    <row r="338" spans="1:24" x14ac:dyDescent="0.35">
      <c r="A338" s="2" t="s">
        <v>592</v>
      </c>
      <c r="B338" s="3">
        <v>45868</v>
      </c>
      <c r="C338" s="3" t="str">
        <f>TEXT(Table1_1[[#This Row],[Date]],"YYYY")</f>
        <v>2025</v>
      </c>
      <c r="D338" s="3" t="str">
        <f>TEXT(Table1_1[[#This Row],[Date]],"mmm")</f>
        <v>Jul</v>
      </c>
      <c r="E338" s="2" t="s">
        <v>21</v>
      </c>
      <c r="F338" s="2" t="str">
        <f>INDEX(IndiGo_Flight_Data!$R$2:$R$11,MATCH(Table1_1[[#This Row],[Route]],_xlfn.ANCHORARRAY(IndiGo_Flight_Data!$Q$2),0))</f>
        <v>Bengaluru - Hyderabad</v>
      </c>
      <c r="G338" s="2" t="s">
        <v>24</v>
      </c>
      <c r="H338">
        <v>108</v>
      </c>
      <c r="I338">
        <v>180</v>
      </c>
      <c r="J338">
        <f>Table1_1[[#This Row],[Seat_Capacity]]-Table1_1[[#This Row],[Passengers]]</f>
        <v>72</v>
      </c>
      <c r="K338">
        <v>60</v>
      </c>
      <c r="L338" t="str" cm="1">
        <f t="array" ref="L338">_xlfn.IFS(Table1_1[[#This Row],[Load_Factor_%]]&lt;60,"Low",Table1_1[[#This Row],[Load_Factor_%]]&lt;85,"Intermediate",Table1_1[[#This Row],[Load_Factor_%]]&gt;=85,"High")</f>
        <v>Intermediate</v>
      </c>
      <c r="M338" s="4">
        <v>651680</v>
      </c>
      <c r="N338" s="4">
        <v>32453</v>
      </c>
      <c r="O338" s="4">
        <f>SUM(Table1_1[[#This Row],[Ticket_Revenue_INR]:[Cargo_Revenue_INR]])</f>
        <v>684133</v>
      </c>
      <c r="P338" s="4">
        <v>883268</v>
      </c>
      <c r="Q338" s="4">
        <v>1387781</v>
      </c>
      <c r="R338" s="4">
        <f>SUM(Table1_1[[#This Row],[Fuel_Cost_INR]:[Operating_Cost_INR]])</f>
        <v>2271049</v>
      </c>
      <c r="S338" s="4">
        <f>Table1_1[[#This Row],[Total_Revenue]]-Table1_1[[#This Row],[Total_Cost]]</f>
        <v>-1586916</v>
      </c>
      <c r="T338" s="9">
        <f>(Table1_1[[#This Row],[Total_Profit]]/Table1_1[[#This Row],[Total_Revenue]])</f>
        <v>-2.3196015979349043</v>
      </c>
      <c r="U338" s="5">
        <v>30</v>
      </c>
      <c r="V338" s="6" t="s">
        <v>18</v>
      </c>
      <c r="W338" s="8">
        <v>4.8</v>
      </c>
      <c r="X338" t="str" cm="1">
        <f t="array" ref="X338">_xlfn.IFS(Table1_1[[#This Row],[Customer_Rating]]&lt;3,"Poor",Table1_1[[#This Row],[Customer_Rating]]&lt;4,"Good",Table1_1[[#This Row],[Customer_Rating]]&gt;=4,"Excellent")</f>
        <v>Excellent</v>
      </c>
    </row>
    <row r="339" spans="1:24" x14ac:dyDescent="0.35">
      <c r="A339" s="2" t="s">
        <v>593</v>
      </c>
      <c r="B339" s="3">
        <v>45838</v>
      </c>
      <c r="C339" s="3" t="str">
        <f>TEXT(Table1_1[[#This Row],[Date]],"YYYY")</f>
        <v>2025</v>
      </c>
      <c r="D339" s="3" t="str">
        <f>TEXT(Table1_1[[#This Row],[Date]],"mmm")</f>
        <v>Jun</v>
      </c>
      <c r="E339" s="2" t="s">
        <v>76</v>
      </c>
      <c r="F339" s="2" t="str">
        <f>INDEX(IndiGo_Flight_Data!$R$2:$R$11,MATCH(Table1_1[[#This Row],[Route]],_xlfn.ANCHORARRAY(IndiGo_Flight_Data!$Q$2),0))</f>
        <v>Madras - Delhi</v>
      </c>
      <c r="G339" s="2" t="s">
        <v>43</v>
      </c>
      <c r="H339">
        <v>164</v>
      </c>
      <c r="I339">
        <v>232</v>
      </c>
      <c r="J339">
        <f>Table1_1[[#This Row],[Seat_Capacity]]-Table1_1[[#This Row],[Passengers]]</f>
        <v>68</v>
      </c>
      <c r="K339">
        <v>70.69</v>
      </c>
      <c r="L339" t="str" cm="1">
        <f t="array" ref="L339">_xlfn.IFS(Table1_1[[#This Row],[Load_Factor_%]]&lt;60,"Low",Table1_1[[#This Row],[Load_Factor_%]]&lt;85,"Intermediate",Table1_1[[#This Row],[Load_Factor_%]]&gt;=85,"High")</f>
        <v>Intermediate</v>
      </c>
      <c r="M339" s="4">
        <v>585587</v>
      </c>
      <c r="N339" s="4">
        <v>134436</v>
      </c>
      <c r="O339" s="4">
        <f>SUM(Table1_1[[#This Row],[Ticket_Revenue_INR]:[Cargo_Revenue_INR]])</f>
        <v>720023</v>
      </c>
      <c r="P339" s="4">
        <v>405241</v>
      </c>
      <c r="Q339" s="4">
        <v>907650</v>
      </c>
      <c r="R339" s="4">
        <f>SUM(Table1_1[[#This Row],[Fuel_Cost_INR]:[Operating_Cost_INR]])</f>
        <v>1312891</v>
      </c>
      <c r="S339" s="4">
        <f>Table1_1[[#This Row],[Total_Revenue]]-Table1_1[[#This Row],[Total_Cost]]</f>
        <v>-592868</v>
      </c>
      <c r="T339" s="9">
        <f>(Table1_1[[#This Row],[Total_Profit]]/Table1_1[[#This Row],[Total_Revenue]])</f>
        <v>-0.8234014746751146</v>
      </c>
      <c r="U339" s="5">
        <v>17</v>
      </c>
      <c r="V339" s="6" t="s">
        <v>18</v>
      </c>
      <c r="W339" s="8">
        <v>3.3</v>
      </c>
      <c r="X339" t="str" cm="1">
        <f t="array" ref="X339">_xlfn.IFS(Table1_1[[#This Row],[Customer_Rating]]&lt;3,"Poor",Table1_1[[#This Row],[Customer_Rating]]&lt;4,"Good",Table1_1[[#This Row],[Customer_Rating]]&gt;=4,"Excellent")</f>
        <v>Good</v>
      </c>
    </row>
    <row r="340" spans="1:24" x14ac:dyDescent="0.35">
      <c r="A340" s="2" t="s">
        <v>595</v>
      </c>
      <c r="B340" s="3">
        <v>45714</v>
      </c>
      <c r="C340" s="3" t="str">
        <f>TEXT(Table1_1[[#This Row],[Date]],"YYYY")</f>
        <v>2025</v>
      </c>
      <c r="D340" s="3" t="str">
        <f>TEXT(Table1_1[[#This Row],[Date]],"mmm")</f>
        <v>Feb</v>
      </c>
      <c r="E340" s="2" t="s">
        <v>59</v>
      </c>
      <c r="F340" s="2" t="str">
        <f>INDEX(IndiGo_Flight_Data!$R$2:$R$11,MATCH(Table1_1[[#This Row],[Route]],_xlfn.ANCHORARRAY(IndiGo_Flight_Data!$Q$2),0))</f>
        <v>Bengaluru - Bombay</v>
      </c>
      <c r="G340" s="2" t="s">
        <v>24</v>
      </c>
      <c r="H340">
        <v>110</v>
      </c>
      <c r="I340">
        <v>180</v>
      </c>
      <c r="J340">
        <f>Table1_1[[#This Row],[Seat_Capacity]]-Table1_1[[#This Row],[Passengers]]</f>
        <v>70</v>
      </c>
      <c r="K340">
        <v>61.11</v>
      </c>
      <c r="L340" t="str" cm="1">
        <f t="array" ref="L340">_xlfn.IFS(Table1_1[[#This Row],[Load_Factor_%]]&lt;60,"Low",Table1_1[[#This Row],[Load_Factor_%]]&lt;85,"Intermediate",Table1_1[[#This Row],[Load_Factor_%]]&gt;=85,"High")</f>
        <v>Intermediate</v>
      </c>
      <c r="M340" s="4">
        <v>451692</v>
      </c>
      <c r="N340" s="4">
        <v>61129</v>
      </c>
      <c r="O340" s="4">
        <f>SUM(Table1_1[[#This Row],[Ticket_Revenue_INR]:[Cargo_Revenue_INR]])</f>
        <v>512821</v>
      </c>
      <c r="P340" s="4">
        <v>1189921</v>
      </c>
      <c r="Q340" s="4">
        <v>1580626</v>
      </c>
      <c r="R340" s="4">
        <f>SUM(Table1_1[[#This Row],[Fuel_Cost_INR]:[Operating_Cost_INR]])</f>
        <v>2770547</v>
      </c>
      <c r="S340" s="4">
        <f>Table1_1[[#This Row],[Total_Revenue]]-Table1_1[[#This Row],[Total_Cost]]</f>
        <v>-2257726</v>
      </c>
      <c r="T340" s="9">
        <f>(Table1_1[[#This Row],[Total_Profit]]/Table1_1[[#This Row],[Total_Revenue]])</f>
        <v>-4.402561517566558</v>
      </c>
      <c r="U340" s="5">
        <v>25</v>
      </c>
      <c r="V340" s="6" t="s">
        <v>18</v>
      </c>
      <c r="W340" s="8">
        <v>4</v>
      </c>
      <c r="X340" t="str" cm="1">
        <f t="array" ref="X340">_xlfn.IFS(Table1_1[[#This Row],[Customer_Rating]]&lt;3,"Poor",Table1_1[[#This Row],[Customer_Rating]]&lt;4,"Good",Table1_1[[#This Row],[Customer_Rating]]&gt;=4,"Excellent")</f>
        <v>Excellent</v>
      </c>
    </row>
    <row r="341" spans="1:24" x14ac:dyDescent="0.35">
      <c r="A341" s="2" t="s">
        <v>597</v>
      </c>
      <c r="B341" s="3">
        <v>45910</v>
      </c>
      <c r="C341" s="3" t="str">
        <f>TEXT(Table1_1[[#This Row],[Date]],"YYYY")</f>
        <v>2025</v>
      </c>
      <c r="D341" s="3" t="str">
        <f>TEXT(Table1_1[[#This Row],[Date]],"mmm")</f>
        <v>Sep</v>
      </c>
      <c r="E341" s="2" t="s">
        <v>32</v>
      </c>
      <c r="F341" s="2" t="str">
        <f>INDEX(IndiGo_Flight_Data!$R$2:$R$11,MATCH(Table1_1[[#This Row],[Route]],_xlfn.ANCHORARRAY(IndiGo_Flight_Data!$Q$2),0))</f>
        <v>Bengaluru - Cochin</v>
      </c>
      <c r="G341" s="2" t="s">
        <v>24</v>
      </c>
      <c r="H341">
        <v>135</v>
      </c>
      <c r="I341">
        <v>180</v>
      </c>
      <c r="J341">
        <f>Table1_1[[#This Row],[Seat_Capacity]]-Table1_1[[#This Row],[Passengers]]</f>
        <v>45</v>
      </c>
      <c r="K341">
        <v>75</v>
      </c>
      <c r="L341" t="str" cm="1">
        <f t="array" ref="L341">_xlfn.IFS(Table1_1[[#This Row],[Load_Factor_%]]&lt;60,"Low",Table1_1[[#This Row],[Load_Factor_%]]&lt;85,"Intermediate",Table1_1[[#This Row],[Load_Factor_%]]&gt;=85,"High")</f>
        <v>Intermediate</v>
      </c>
      <c r="M341" s="4">
        <v>1191799</v>
      </c>
      <c r="N341" s="4">
        <v>104044</v>
      </c>
      <c r="O341" s="4">
        <f>SUM(Table1_1[[#This Row],[Ticket_Revenue_INR]:[Cargo_Revenue_INR]])</f>
        <v>1295843</v>
      </c>
      <c r="P341" s="4">
        <v>1047993</v>
      </c>
      <c r="Q341" s="4">
        <v>1608682</v>
      </c>
      <c r="R341" s="4">
        <f>SUM(Table1_1[[#This Row],[Fuel_Cost_INR]:[Operating_Cost_INR]])</f>
        <v>2656675</v>
      </c>
      <c r="S341" s="4">
        <f>Table1_1[[#This Row],[Total_Revenue]]-Table1_1[[#This Row],[Total_Cost]]</f>
        <v>-1360832</v>
      </c>
      <c r="T341" s="9">
        <f>(Table1_1[[#This Row],[Total_Profit]]/Table1_1[[#This Row],[Total_Revenue]])</f>
        <v>-1.0501519088346352</v>
      </c>
      <c r="U341" s="5">
        <v>52</v>
      </c>
      <c r="V341" s="6" t="s">
        <v>18</v>
      </c>
      <c r="W341" s="8">
        <v>3.4</v>
      </c>
      <c r="X341" t="str" cm="1">
        <f t="array" ref="X341">_xlfn.IFS(Table1_1[[#This Row],[Customer_Rating]]&lt;3,"Poor",Table1_1[[#This Row],[Customer_Rating]]&lt;4,"Good",Table1_1[[#This Row],[Customer_Rating]]&gt;=4,"Excellent")</f>
        <v>Good</v>
      </c>
    </row>
    <row r="342" spans="1:24" x14ac:dyDescent="0.35">
      <c r="A342" s="2" t="s">
        <v>598</v>
      </c>
      <c r="B342" s="3">
        <v>45947</v>
      </c>
      <c r="C342" s="3" t="str">
        <f>TEXT(Table1_1[[#This Row],[Date]],"YYYY")</f>
        <v>2025</v>
      </c>
      <c r="D342" s="3" t="str">
        <f>TEXT(Table1_1[[#This Row],[Date]],"mmm")</f>
        <v>Oct</v>
      </c>
      <c r="E342" s="2" t="s">
        <v>117</v>
      </c>
      <c r="F342" s="2" t="str">
        <f>INDEX(IndiGo_Flight_Data!$R$2:$R$11,MATCH(Table1_1[[#This Row],[Route]],_xlfn.ANCHORARRAY(IndiGo_Flight_Data!$Q$2),0))</f>
        <v>Bengaluru - Calacatta</v>
      </c>
      <c r="G342" s="2" t="s">
        <v>24</v>
      </c>
      <c r="H342">
        <v>158</v>
      </c>
      <c r="I342">
        <v>180</v>
      </c>
      <c r="J342">
        <f>Table1_1[[#This Row],[Seat_Capacity]]-Table1_1[[#This Row],[Passengers]]</f>
        <v>22</v>
      </c>
      <c r="K342">
        <v>87.78</v>
      </c>
      <c r="L342" t="str" cm="1">
        <f t="array" ref="L342">_xlfn.IFS(Table1_1[[#This Row],[Load_Factor_%]]&lt;60,"Low",Table1_1[[#This Row],[Load_Factor_%]]&lt;85,"Intermediate",Table1_1[[#This Row],[Load_Factor_%]]&gt;=85,"High")</f>
        <v>High</v>
      </c>
      <c r="M342" s="4">
        <v>1135847</v>
      </c>
      <c r="N342" s="4">
        <v>131047</v>
      </c>
      <c r="O342" s="4">
        <f>SUM(Table1_1[[#This Row],[Ticket_Revenue_INR]:[Cargo_Revenue_INR]])</f>
        <v>1266894</v>
      </c>
      <c r="P342" s="4">
        <v>750753</v>
      </c>
      <c r="Q342" s="4">
        <v>1101561</v>
      </c>
      <c r="R342" s="4">
        <f>SUM(Table1_1[[#This Row],[Fuel_Cost_INR]:[Operating_Cost_INR]])</f>
        <v>1852314</v>
      </c>
      <c r="S342" s="4">
        <f>Table1_1[[#This Row],[Total_Revenue]]-Table1_1[[#This Row],[Total_Cost]]</f>
        <v>-585420</v>
      </c>
      <c r="T342" s="9">
        <f>(Table1_1[[#This Row],[Total_Profit]]/Table1_1[[#This Row],[Total_Revenue]])</f>
        <v>-0.46209075108099018</v>
      </c>
      <c r="U342" s="5">
        <v>63</v>
      </c>
      <c r="V342" s="6" t="s">
        <v>18</v>
      </c>
      <c r="W342" s="8">
        <v>4.5</v>
      </c>
      <c r="X342" t="str" cm="1">
        <f t="array" ref="X342">_xlfn.IFS(Table1_1[[#This Row],[Customer_Rating]]&lt;3,"Poor",Table1_1[[#This Row],[Customer_Rating]]&lt;4,"Good",Table1_1[[#This Row],[Customer_Rating]]&gt;=4,"Excellent")</f>
        <v>Excellent</v>
      </c>
    </row>
    <row r="343" spans="1:24" x14ac:dyDescent="0.35">
      <c r="A343" s="2" t="s">
        <v>600</v>
      </c>
      <c r="B343" s="3">
        <v>45976</v>
      </c>
      <c r="C343" s="3" t="str">
        <f>TEXT(Table1_1[[#This Row],[Date]],"YYYY")</f>
        <v>2025</v>
      </c>
      <c r="D343" s="3" t="str">
        <f>TEXT(Table1_1[[#This Row],[Date]],"mmm")</f>
        <v>Nov</v>
      </c>
      <c r="E343" s="2" t="s">
        <v>76</v>
      </c>
      <c r="F343" s="2" t="str">
        <f>INDEX(IndiGo_Flight_Data!$R$2:$R$11,MATCH(Table1_1[[#This Row],[Route]],_xlfn.ANCHORARRAY(IndiGo_Flight_Data!$Q$2),0))</f>
        <v>Madras - Delhi</v>
      </c>
      <c r="G343" s="2" t="s">
        <v>24</v>
      </c>
      <c r="H343">
        <v>117</v>
      </c>
      <c r="I343">
        <v>180</v>
      </c>
      <c r="J343">
        <f>Table1_1[[#This Row],[Seat_Capacity]]-Table1_1[[#This Row],[Passengers]]</f>
        <v>63</v>
      </c>
      <c r="K343">
        <v>65</v>
      </c>
      <c r="L343" t="str" cm="1">
        <f t="array" ref="L343">_xlfn.IFS(Table1_1[[#This Row],[Load_Factor_%]]&lt;60,"Low",Table1_1[[#This Row],[Load_Factor_%]]&lt;85,"Intermediate",Table1_1[[#This Row],[Load_Factor_%]]&gt;=85,"High")</f>
        <v>Intermediate</v>
      </c>
      <c r="M343" s="4">
        <v>448322</v>
      </c>
      <c r="N343" s="4">
        <v>132631</v>
      </c>
      <c r="O343" s="4">
        <f>SUM(Table1_1[[#This Row],[Ticket_Revenue_INR]:[Cargo_Revenue_INR]])</f>
        <v>580953</v>
      </c>
      <c r="P343" s="4">
        <v>1137018</v>
      </c>
      <c r="Q343" s="4">
        <v>1645959</v>
      </c>
      <c r="R343" s="4">
        <f>SUM(Table1_1[[#This Row],[Fuel_Cost_INR]:[Operating_Cost_INR]])</f>
        <v>2782977</v>
      </c>
      <c r="S343" s="4">
        <f>Table1_1[[#This Row],[Total_Revenue]]-Table1_1[[#This Row],[Total_Cost]]</f>
        <v>-2202024</v>
      </c>
      <c r="T343" s="9">
        <f>(Table1_1[[#This Row],[Total_Profit]]/Table1_1[[#This Row],[Total_Revenue]])</f>
        <v>-3.7903651414141937</v>
      </c>
      <c r="U343" s="5">
        <v>19</v>
      </c>
      <c r="V343" s="6" t="s">
        <v>18</v>
      </c>
      <c r="W343" s="8">
        <v>4.0999999999999996</v>
      </c>
      <c r="X343" t="str" cm="1">
        <f t="array" ref="X343">_xlfn.IFS(Table1_1[[#This Row],[Customer_Rating]]&lt;3,"Poor",Table1_1[[#This Row],[Customer_Rating]]&lt;4,"Good",Table1_1[[#This Row],[Customer_Rating]]&gt;=4,"Excellent")</f>
        <v>Excellent</v>
      </c>
    </row>
    <row r="344" spans="1:24" x14ac:dyDescent="0.35">
      <c r="A344" s="2" t="s">
        <v>601</v>
      </c>
      <c r="B344" s="3">
        <v>45717</v>
      </c>
      <c r="C344" s="3" t="str">
        <f>TEXT(Table1_1[[#This Row],[Date]],"YYYY")</f>
        <v>2025</v>
      </c>
      <c r="D344" s="3" t="str">
        <f>TEXT(Table1_1[[#This Row],[Date]],"mmm")</f>
        <v>Mar</v>
      </c>
      <c r="E344" s="2" t="s">
        <v>29</v>
      </c>
      <c r="F344" s="2" t="str">
        <f>INDEX(IndiGo_Flight_Data!$R$2:$R$11,MATCH(Table1_1[[#This Row],[Route]],_xlfn.ANCHORARRAY(IndiGo_Flight_Data!$Q$2),0))</f>
        <v>Calacatta - Delhi</v>
      </c>
      <c r="G344" s="2" t="s">
        <v>43</v>
      </c>
      <c r="H344">
        <v>202</v>
      </c>
      <c r="I344">
        <v>232</v>
      </c>
      <c r="J344">
        <f>Table1_1[[#This Row],[Seat_Capacity]]-Table1_1[[#This Row],[Passengers]]</f>
        <v>30</v>
      </c>
      <c r="K344">
        <v>87.07</v>
      </c>
      <c r="L344" t="str" cm="1">
        <f t="array" ref="L344">_xlfn.IFS(Table1_1[[#This Row],[Load_Factor_%]]&lt;60,"Low",Table1_1[[#This Row],[Load_Factor_%]]&lt;85,"Intermediate",Table1_1[[#This Row],[Load_Factor_%]]&gt;=85,"High")</f>
        <v>High</v>
      </c>
      <c r="M344" s="4">
        <v>1258639</v>
      </c>
      <c r="N344" s="4">
        <v>126996</v>
      </c>
      <c r="O344" s="4">
        <f>SUM(Table1_1[[#This Row],[Ticket_Revenue_INR]:[Cargo_Revenue_INR]])</f>
        <v>1385635</v>
      </c>
      <c r="P344" s="4">
        <v>529018</v>
      </c>
      <c r="Q344" s="4">
        <v>738317</v>
      </c>
      <c r="R344" s="4">
        <f>SUM(Table1_1[[#This Row],[Fuel_Cost_INR]:[Operating_Cost_INR]])</f>
        <v>1267335</v>
      </c>
      <c r="S344" s="4">
        <f>Table1_1[[#This Row],[Total_Revenue]]-Table1_1[[#This Row],[Total_Cost]]</f>
        <v>118300</v>
      </c>
      <c r="T344" s="9">
        <f>(Table1_1[[#This Row],[Total_Profit]]/Table1_1[[#This Row],[Total_Revenue]])</f>
        <v>8.5376018937165996E-2</v>
      </c>
      <c r="U344" s="5">
        <v>43</v>
      </c>
      <c r="V344" s="6" t="s">
        <v>18</v>
      </c>
      <c r="W344" s="8">
        <v>4.0999999999999996</v>
      </c>
      <c r="X344" t="str" cm="1">
        <f t="array" ref="X344">_xlfn.IFS(Table1_1[[#This Row],[Customer_Rating]]&lt;3,"Poor",Table1_1[[#This Row],[Customer_Rating]]&lt;4,"Good",Table1_1[[#This Row],[Customer_Rating]]&gt;=4,"Excellent")</f>
        <v>Excellent</v>
      </c>
    </row>
    <row r="345" spans="1:24" x14ac:dyDescent="0.35">
      <c r="A345" s="2" t="s">
        <v>602</v>
      </c>
      <c r="B345" s="3">
        <v>45808</v>
      </c>
      <c r="C345" s="3" t="str">
        <f>TEXT(Table1_1[[#This Row],[Date]],"YYYY")</f>
        <v>2025</v>
      </c>
      <c r="D345" s="3" t="str">
        <f>TEXT(Table1_1[[#This Row],[Date]],"mmm")</f>
        <v>May</v>
      </c>
      <c r="E345" s="2" t="s">
        <v>16</v>
      </c>
      <c r="F345" s="2" t="str">
        <f>INDEX(IndiGo_Flight_Data!$R$2:$R$11,MATCH(Table1_1[[#This Row],[Route]],_xlfn.ANCHORARRAY(IndiGo_Flight_Data!$Q$2),0))</f>
        <v>Delhi - Goa</v>
      </c>
      <c r="G345" s="2" t="s">
        <v>17</v>
      </c>
      <c r="H345">
        <v>48</v>
      </c>
      <c r="I345">
        <v>78</v>
      </c>
      <c r="J345">
        <f>Table1_1[[#This Row],[Seat_Capacity]]-Table1_1[[#This Row],[Passengers]]</f>
        <v>30</v>
      </c>
      <c r="K345">
        <v>61.54</v>
      </c>
      <c r="L345" t="str" cm="1">
        <f t="array" ref="L345">_xlfn.IFS(Table1_1[[#This Row],[Load_Factor_%]]&lt;60,"Low",Table1_1[[#This Row],[Load_Factor_%]]&lt;85,"Intermediate",Table1_1[[#This Row],[Load_Factor_%]]&gt;=85,"High")</f>
        <v>Intermediate</v>
      </c>
      <c r="M345" s="4">
        <v>282104</v>
      </c>
      <c r="N345" s="4">
        <v>113808</v>
      </c>
      <c r="O345" s="4">
        <f>SUM(Table1_1[[#This Row],[Ticket_Revenue_INR]:[Cargo_Revenue_INR]])</f>
        <v>395912</v>
      </c>
      <c r="P345" s="4">
        <v>1073280</v>
      </c>
      <c r="Q345" s="4">
        <v>1736878</v>
      </c>
      <c r="R345" s="4">
        <f>SUM(Table1_1[[#This Row],[Fuel_Cost_INR]:[Operating_Cost_INR]])</f>
        <v>2810158</v>
      </c>
      <c r="S345" s="4">
        <f>Table1_1[[#This Row],[Total_Revenue]]-Table1_1[[#This Row],[Total_Cost]]</f>
        <v>-2414246</v>
      </c>
      <c r="T345" s="9">
        <f>(Table1_1[[#This Row],[Total_Profit]]/Table1_1[[#This Row],[Total_Revenue]])</f>
        <v>-6.0979359049485744</v>
      </c>
      <c r="U345" s="5">
        <v>45</v>
      </c>
      <c r="V345" s="6" t="s">
        <v>18</v>
      </c>
      <c r="W345" s="8">
        <v>4.5999999999999996</v>
      </c>
      <c r="X345" t="str" cm="1">
        <f t="array" ref="X345">_xlfn.IFS(Table1_1[[#This Row],[Customer_Rating]]&lt;3,"Poor",Table1_1[[#This Row],[Customer_Rating]]&lt;4,"Good",Table1_1[[#This Row],[Customer_Rating]]&gt;=4,"Excellent")</f>
        <v>Excellent</v>
      </c>
    </row>
    <row r="346" spans="1:24" x14ac:dyDescent="0.35">
      <c r="A346" s="2" t="s">
        <v>603</v>
      </c>
      <c r="B346" s="3">
        <v>45685</v>
      </c>
      <c r="C346" s="3" t="str">
        <f>TEXT(Table1_1[[#This Row],[Date]],"YYYY")</f>
        <v>2025</v>
      </c>
      <c r="D346" s="3" t="str">
        <f>TEXT(Table1_1[[#This Row],[Date]],"mmm")</f>
        <v>Jan</v>
      </c>
      <c r="E346" s="2" t="s">
        <v>39</v>
      </c>
      <c r="F346" s="2" t="str">
        <f>INDEX(IndiGo_Flight_Data!$R$2:$R$11,MATCH(Table1_1[[#This Row],[Route]],_xlfn.ANCHORARRAY(IndiGo_Flight_Data!$Q$2),0))</f>
        <v>Bengaluru - Delhi</v>
      </c>
      <c r="G346" s="2" t="s">
        <v>43</v>
      </c>
      <c r="H346">
        <v>195</v>
      </c>
      <c r="I346">
        <v>232</v>
      </c>
      <c r="J346">
        <f>Table1_1[[#This Row],[Seat_Capacity]]-Table1_1[[#This Row],[Passengers]]</f>
        <v>37</v>
      </c>
      <c r="K346">
        <v>84.05</v>
      </c>
      <c r="L346" t="str" cm="1">
        <f t="array" ref="L346">_xlfn.IFS(Table1_1[[#This Row],[Load_Factor_%]]&lt;60,"Low",Table1_1[[#This Row],[Load_Factor_%]]&lt;85,"Intermediate",Table1_1[[#This Row],[Load_Factor_%]]&gt;=85,"High")</f>
        <v>Intermediate</v>
      </c>
      <c r="M346" s="4">
        <v>1659878</v>
      </c>
      <c r="N346" s="4">
        <v>104254</v>
      </c>
      <c r="O346" s="4">
        <f>SUM(Table1_1[[#This Row],[Ticket_Revenue_INR]:[Cargo_Revenue_INR]])</f>
        <v>1764132</v>
      </c>
      <c r="P346" s="4">
        <v>934935</v>
      </c>
      <c r="Q346" s="4">
        <v>1599369</v>
      </c>
      <c r="R346" s="4">
        <f>SUM(Table1_1[[#This Row],[Fuel_Cost_INR]:[Operating_Cost_INR]])</f>
        <v>2534304</v>
      </c>
      <c r="S346" s="4">
        <f>Table1_1[[#This Row],[Total_Revenue]]-Table1_1[[#This Row],[Total_Cost]]</f>
        <v>-770172</v>
      </c>
      <c r="T346" s="9">
        <f>(Table1_1[[#This Row],[Total_Profit]]/Table1_1[[#This Row],[Total_Revenue]])</f>
        <v>-0.4365727734659311</v>
      </c>
      <c r="U346" s="5">
        <v>19</v>
      </c>
      <c r="V346" s="6" t="s">
        <v>18</v>
      </c>
      <c r="W346" s="8">
        <v>3.3</v>
      </c>
      <c r="X346" t="str" cm="1">
        <f t="array" ref="X346">_xlfn.IFS(Table1_1[[#This Row],[Customer_Rating]]&lt;3,"Poor",Table1_1[[#This Row],[Customer_Rating]]&lt;4,"Good",Table1_1[[#This Row],[Customer_Rating]]&gt;=4,"Excellent")</f>
        <v>Good</v>
      </c>
    </row>
    <row r="347" spans="1:24" x14ac:dyDescent="0.35">
      <c r="A347" s="2" t="s">
        <v>604</v>
      </c>
      <c r="B347" s="3">
        <v>45774</v>
      </c>
      <c r="C347" s="3" t="str">
        <f>TEXT(Table1_1[[#This Row],[Date]],"YYYY")</f>
        <v>2025</v>
      </c>
      <c r="D347" s="3" t="str">
        <f>TEXT(Table1_1[[#This Row],[Date]],"mmm")</f>
        <v>Apr</v>
      </c>
      <c r="E347" s="2" t="s">
        <v>32</v>
      </c>
      <c r="F347" s="2" t="str">
        <f>INDEX(IndiGo_Flight_Data!$R$2:$R$11,MATCH(Table1_1[[#This Row],[Route]],_xlfn.ANCHORARRAY(IndiGo_Flight_Data!$Q$2),0))</f>
        <v>Bengaluru - Cochin</v>
      </c>
      <c r="G347" s="2" t="s">
        <v>17</v>
      </c>
      <c r="H347">
        <v>63</v>
      </c>
      <c r="I347">
        <v>78</v>
      </c>
      <c r="J347">
        <f>Table1_1[[#This Row],[Seat_Capacity]]-Table1_1[[#This Row],[Passengers]]</f>
        <v>15</v>
      </c>
      <c r="K347">
        <v>80.77</v>
      </c>
      <c r="L347" t="str" cm="1">
        <f t="array" ref="L347">_xlfn.IFS(Table1_1[[#This Row],[Load_Factor_%]]&lt;60,"Low",Table1_1[[#This Row],[Load_Factor_%]]&lt;85,"Intermediate",Table1_1[[#This Row],[Load_Factor_%]]&gt;=85,"High")</f>
        <v>Intermediate</v>
      </c>
      <c r="M347" s="4">
        <v>224361</v>
      </c>
      <c r="N347" s="4">
        <v>83070</v>
      </c>
      <c r="O347" s="4">
        <f>SUM(Table1_1[[#This Row],[Ticket_Revenue_INR]:[Cargo_Revenue_INR]])</f>
        <v>307431</v>
      </c>
      <c r="P347" s="4">
        <v>702180</v>
      </c>
      <c r="Q347" s="4">
        <v>1102518</v>
      </c>
      <c r="R347" s="4">
        <f>SUM(Table1_1[[#This Row],[Fuel_Cost_INR]:[Operating_Cost_INR]])</f>
        <v>1804698</v>
      </c>
      <c r="S347" s="4">
        <f>Table1_1[[#This Row],[Total_Revenue]]-Table1_1[[#This Row],[Total_Cost]]</f>
        <v>-1497267</v>
      </c>
      <c r="T347" s="9">
        <f>(Table1_1[[#This Row],[Total_Profit]]/Table1_1[[#This Row],[Total_Revenue]])</f>
        <v>-4.8702538130507333</v>
      </c>
      <c r="U347" s="5">
        <v>56</v>
      </c>
      <c r="V347" s="6" t="s">
        <v>18</v>
      </c>
      <c r="W347" s="8">
        <v>4</v>
      </c>
      <c r="X347" t="str" cm="1">
        <f t="array" ref="X347">_xlfn.IFS(Table1_1[[#This Row],[Customer_Rating]]&lt;3,"Poor",Table1_1[[#This Row],[Customer_Rating]]&lt;4,"Good",Table1_1[[#This Row],[Customer_Rating]]&gt;=4,"Excellent")</f>
        <v>Excellent</v>
      </c>
    </row>
    <row r="348" spans="1:24" x14ac:dyDescent="0.35">
      <c r="A348" s="2" t="s">
        <v>605</v>
      </c>
      <c r="B348" s="3">
        <v>45803</v>
      </c>
      <c r="C348" s="3" t="str">
        <f>TEXT(Table1_1[[#This Row],[Date]],"YYYY")</f>
        <v>2025</v>
      </c>
      <c r="D348" s="3" t="str">
        <f>TEXT(Table1_1[[#This Row],[Date]],"mmm")</f>
        <v>May</v>
      </c>
      <c r="E348" s="2" t="s">
        <v>29</v>
      </c>
      <c r="F348" s="2" t="str">
        <f>INDEX(IndiGo_Flight_Data!$R$2:$R$11,MATCH(Table1_1[[#This Row],[Route]],_xlfn.ANCHORARRAY(IndiGo_Flight_Data!$Q$2),0))</f>
        <v>Calacatta - Delhi</v>
      </c>
      <c r="G348" s="2" t="s">
        <v>24</v>
      </c>
      <c r="H348">
        <v>133</v>
      </c>
      <c r="I348">
        <v>180</v>
      </c>
      <c r="J348">
        <f>Table1_1[[#This Row],[Seat_Capacity]]-Table1_1[[#This Row],[Passengers]]</f>
        <v>47</v>
      </c>
      <c r="K348">
        <v>73.89</v>
      </c>
      <c r="L348" t="str" cm="1">
        <f t="array" ref="L348">_xlfn.IFS(Table1_1[[#This Row],[Load_Factor_%]]&lt;60,"Low",Table1_1[[#This Row],[Load_Factor_%]]&lt;85,"Intermediate",Table1_1[[#This Row],[Load_Factor_%]]&gt;=85,"High")</f>
        <v>Intermediate</v>
      </c>
      <c r="M348" s="4">
        <v>588820</v>
      </c>
      <c r="N348" s="4">
        <v>96800</v>
      </c>
      <c r="O348" s="4">
        <f>SUM(Table1_1[[#This Row],[Ticket_Revenue_INR]:[Cargo_Revenue_INR]])</f>
        <v>685620</v>
      </c>
      <c r="P348" s="4">
        <v>752115</v>
      </c>
      <c r="Q348" s="4">
        <v>1321273</v>
      </c>
      <c r="R348" s="4">
        <f>SUM(Table1_1[[#This Row],[Fuel_Cost_INR]:[Operating_Cost_INR]])</f>
        <v>2073388</v>
      </c>
      <c r="S348" s="4">
        <f>Table1_1[[#This Row],[Total_Revenue]]-Table1_1[[#This Row],[Total_Cost]]</f>
        <v>-1387768</v>
      </c>
      <c r="T348" s="9">
        <f>(Table1_1[[#This Row],[Total_Profit]]/Table1_1[[#This Row],[Total_Revenue]])</f>
        <v>-2.0241066479974328</v>
      </c>
      <c r="U348" s="5">
        <v>8</v>
      </c>
      <c r="V348" s="6" t="s">
        <v>33</v>
      </c>
      <c r="W348" s="8">
        <v>4.7</v>
      </c>
      <c r="X348" t="str" cm="1">
        <f t="array" ref="X348">_xlfn.IFS(Table1_1[[#This Row],[Customer_Rating]]&lt;3,"Poor",Table1_1[[#This Row],[Customer_Rating]]&lt;4,"Good",Table1_1[[#This Row],[Customer_Rating]]&gt;=4,"Excellent")</f>
        <v>Excellent</v>
      </c>
    </row>
    <row r="349" spans="1:24" x14ac:dyDescent="0.35">
      <c r="A349" s="2" t="s">
        <v>606</v>
      </c>
      <c r="B349" s="3">
        <v>45964</v>
      </c>
      <c r="C349" s="3" t="str">
        <f>TEXT(Table1_1[[#This Row],[Date]],"YYYY")</f>
        <v>2025</v>
      </c>
      <c r="D349" s="3" t="str">
        <f>TEXT(Table1_1[[#This Row],[Date]],"mmm")</f>
        <v>Nov</v>
      </c>
      <c r="E349" s="2" t="s">
        <v>76</v>
      </c>
      <c r="F349" s="2" t="str">
        <f>INDEX(IndiGo_Flight_Data!$R$2:$R$11,MATCH(Table1_1[[#This Row],[Route]],_xlfn.ANCHORARRAY(IndiGo_Flight_Data!$Q$2),0))</f>
        <v>Madras - Delhi</v>
      </c>
      <c r="G349" s="2" t="s">
        <v>24</v>
      </c>
      <c r="H349">
        <v>113</v>
      </c>
      <c r="I349">
        <v>180</v>
      </c>
      <c r="J349">
        <f>Table1_1[[#This Row],[Seat_Capacity]]-Table1_1[[#This Row],[Passengers]]</f>
        <v>67</v>
      </c>
      <c r="K349">
        <v>62.78</v>
      </c>
      <c r="L349" t="str" cm="1">
        <f t="array" ref="L349">_xlfn.IFS(Table1_1[[#This Row],[Load_Factor_%]]&lt;60,"Low",Table1_1[[#This Row],[Load_Factor_%]]&lt;85,"Intermediate",Table1_1[[#This Row],[Load_Factor_%]]&gt;=85,"High")</f>
        <v>Intermediate</v>
      </c>
      <c r="M349" s="4">
        <v>911057</v>
      </c>
      <c r="N349" s="4">
        <v>33054</v>
      </c>
      <c r="O349" s="4">
        <f>SUM(Table1_1[[#This Row],[Ticket_Revenue_INR]:[Cargo_Revenue_INR]])</f>
        <v>944111</v>
      </c>
      <c r="P349" s="4">
        <v>733723</v>
      </c>
      <c r="Q349" s="4">
        <v>1354582</v>
      </c>
      <c r="R349" s="4">
        <f>SUM(Table1_1[[#This Row],[Fuel_Cost_INR]:[Operating_Cost_INR]])</f>
        <v>2088305</v>
      </c>
      <c r="S349" s="4">
        <f>Table1_1[[#This Row],[Total_Revenue]]-Table1_1[[#This Row],[Total_Cost]]</f>
        <v>-1144194</v>
      </c>
      <c r="T349" s="9">
        <f>(Table1_1[[#This Row],[Total_Profit]]/Table1_1[[#This Row],[Total_Revenue]])</f>
        <v>-1.2119274110777229</v>
      </c>
      <c r="U349" s="5">
        <v>14</v>
      </c>
      <c r="V349" s="6" t="s">
        <v>33</v>
      </c>
      <c r="W349" s="8">
        <v>4</v>
      </c>
      <c r="X349" t="str" cm="1">
        <f t="array" ref="X349">_xlfn.IFS(Table1_1[[#This Row],[Customer_Rating]]&lt;3,"Poor",Table1_1[[#This Row],[Customer_Rating]]&lt;4,"Good",Table1_1[[#This Row],[Customer_Rating]]&gt;=4,"Excellent")</f>
        <v>Excellent</v>
      </c>
    </row>
    <row r="350" spans="1:24" x14ac:dyDescent="0.35">
      <c r="A350" s="2" t="s">
        <v>608</v>
      </c>
      <c r="B350" s="3">
        <v>45706</v>
      </c>
      <c r="C350" s="3" t="str">
        <f>TEXT(Table1_1[[#This Row],[Date]],"YYYY")</f>
        <v>2025</v>
      </c>
      <c r="D350" s="3" t="str">
        <f>TEXT(Table1_1[[#This Row],[Date]],"mmm")</f>
        <v>Feb</v>
      </c>
      <c r="E350" s="2" t="s">
        <v>76</v>
      </c>
      <c r="F350" s="2" t="str">
        <f>INDEX(IndiGo_Flight_Data!$R$2:$R$11,MATCH(Table1_1[[#This Row],[Route]],_xlfn.ANCHORARRAY(IndiGo_Flight_Data!$Q$2),0))</f>
        <v>Madras - Delhi</v>
      </c>
      <c r="G350" s="2" t="s">
        <v>24</v>
      </c>
      <c r="H350">
        <v>149</v>
      </c>
      <c r="I350">
        <v>180</v>
      </c>
      <c r="J350">
        <f>Table1_1[[#This Row],[Seat_Capacity]]-Table1_1[[#This Row],[Passengers]]</f>
        <v>31</v>
      </c>
      <c r="K350">
        <v>82.78</v>
      </c>
      <c r="L350" t="str" cm="1">
        <f t="array" ref="L350">_xlfn.IFS(Table1_1[[#This Row],[Load_Factor_%]]&lt;60,"Low",Table1_1[[#This Row],[Load_Factor_%]]&lt;85,"Intermediate",Table1_1[[#This Row],[Load_Factor_%]]&gt;=85,"High")</f>
        <v>Intermediate</v>
      </c>
      <c r="M350" s="4">
        <v>550387</v>
      </c>
      <c r="N350" s="4">
        <v>120834</v>
      </c>
      <c r="O350" s="4">
        <f>SUM(Table1_1[[#This Row],[Ticket_Revenue_INR]:[Cargo_Revenue_INR]])</f>
        <v>671221</v>
      </c>
      <c r="P350" s="4">
        <v>522360</v>
      </c>
      <c r="Q350" s="4">
        <v>663879</v>
      </c>
      <c r="R350" s="4">
        <f>SUM(Table1_1[[#This Row],[Fuel_Cost_INR]:[Operating_Cost_INR]])</f>
        <v>1186239</v>
      </c>
      <c r="S350" s="4">
        <f>Table1_1[[#This Row],[Total_Revenue]]-Table1_1[[#This Row],[Total_Cost]]</f>
        <v>-515018</v>
      </c>
      <c r="T350" s="9">
        <f>(Table1_1[[#This Row],[Total_Profit]]/Table1_1[[#This Row],[Total_Revenue]])</f>
        <v>-0.76728529053769179</v>
      </c>
      <c r="U350" s="5">
        <v>81</v>
      </c>
      <c r="V350" s="6" t="s">
        <v>18</v>
      </c>
      <c r="W350" s="8">
        <v>4.5</v>
      </c>
      <c r="X350" t="str" cm="1">
        <f t="array" ref="X350">_xlfn.IFS(Table1_1[[#This Row],[Customer_Rating]]&lt;3,"Poor",Table1_1[[#This Row],[Customer_Rating]]&lt;4,"Good",Table1_1[[#This Row],[Customer_Rating]]&gt;=4,"Excellent")</f>
        <v>Excellent</v>
      </c>
    </row>
    <row r="351" spans="1:24" x14ac:dyDescent="0.35">
      <c r="A351" s="2" t="s">
        <v>609</v>
      </c>
      <c r="B351" s="3">
        <v>45886</v>
      </c>
      <c r="C351" s="3" t="str">
        <f>TEXT(Table1_1[[#This Row],[Date]],"YYYY")</f>
        <v>2025</v>
      </c>
      <c r="D351" s="3" t="str">
        <f>TEXT(Table1_1[[#This Row],[Date]],"mmm")</f>
        <v>Aug</v>
      </c>
      <c r="E351" s="2" t="s">
        <v>42</v>
      </c>
      <c r="F351" s="2" t="str">
        <f>INDEX(IndiGo_Flight_Data!$R$2:$R$11,MATCH(Table1_1[[#This Row],[Route]],_xlfn.ANCHORARRAY(IndiGo_Flight_Data!$Q$2),0))</f>
        <v>Bombay - Hyderabad</v>
      </c>
      <c r="G351" s="2" t="s">
        <v>17</v>
      </c>
      <c r="H351">
        <v>69</v>
      </c>
      <c r="I351">
        <v>78</v>
      </c>
      <c r="J351">
        <f>Table1_1[[#This Row],[Seat_Capacity]]-Table1_1[[#This Row],[Passengers]]</f>
        <v>9</v>
      </c>
      <c r="K351">
        <v>88.46</v>
      </c>
      <c r="L351" t="str" cm="1">
        <f t="array" ref="L351">_xlfn.IFS(Table1_1[[#This Row],[Load_Factor_%]]&lt;60,"Low",Table1_1[[#This Row],[Load_Factor_%]]&lt;85,"Intermediate",Table1_1[[#This Row],[Load_Factor_%]]&gt;=85,"High")</f>
        <v>High</v>
      </c>
      <c r="M351" s="4">
        <v>363869</v>
      </c>
      <c r="N351" s="4">
        <v>75226</v>
      </c>
      <c r="O351" s="4">
        <f>SUM(Table1_1[[#This Row],[Ticket_Revenue_INR]:[Cargo_Revenue_INR]])</f>
        <v>439095</v>
      </c>
      <c r="P351" s="4">
        <v>828150</v>
      </c>
      <c r="Q351" s="4">
        <v>1452138</v>
      </c>
      <c r="R351" s="4">
        <f>SUM(Table1_1[[#This Row],[Fuel_Cost_INR]:[Operating_Cost_INR]])</f>
        <v>2280288</v>
      </c>
      <c r="S351" s="4">
        <f>Table1_1[[#This Row],[Total_Revenue]]-Table1_1[[#This Row],[Total_Cost]]</f>
        <v>-1841193</v>
      </c>
      <c r="T351" s="9">
        <f>(Table1_1[[#This Row],[Total_Profit]]/Table1_1[[#This Row],[Total_Revenue]])</f>
        <v>-4.1931541010487479</v>
      </c>
      <c r="U351" s="5">
        <v>31</v>
      </c>
      <c r="V351" s="6" t="s">
        <v>18</v>
      </c>
      <c r="W351" s="8">
        <v>4.5999999999999996</v>
      </c>
      <c r="X351" t="str" cm="1">
        <f t="array" ref="X351">_xlfn.IFS(Table1_1[[#This Row],[Customer_Rating]]&lt;3,"Poor",Table1_1[[#This Row],[Customer_Rating]]&lt;4,"Good",Table1_1[[#This Row],[Customer_Rating]]&gt;=4,"Excellent")</f>
        <v>Excellent</v>
      </c>
    </row>
    <row r="352" spans="1:24" x14ac:dyDescent="0.35">
      <c r="A352" s="2" t="s">
        <v>611</v>
      </c>
      <c r="B352" s="3">
        <v>45826</v>
      </c>
      <c r="C352" s="3" t="str">
        <f>TEXT(Table1_1[[#This Row],[Date]],"YYYY")</f>
        <v>2025</v>
      </c>
      <c r="D352" s="3" t="str">
        <f>TEXT(Table1_1[[#This Row],[Date]],"mmm")</f>
        <v>Jun</v>
      </c>
      <c r="E352" s="2" t="s">
        <v>76</v>
      </c>
      <c r="F352" s="2" t="str">
        <f>INDEX(IndiGo_Flight_Data!$R$2:$R$11,MATCH(Table1_1[[#This Row],[Route]],_xlfn.ANCHORARRAY(IndiGo_Flight_Data!$Q$2),0))</f>
        <v>Madras - Delhi</v>
      </c>
      <c r="G352" s="2" t="s">
        <v>24</v>
      </c>
      <c r="H352">
        <v>156</v>
      </c>
      <c r="I352">
        <v>180</v>
      </c>
      <c r="J352">
        <f>Table1_1[[#This Row],[Seat_Capacity]]-Table1_1[[#This Row],[Passengers]]</f>
        <v>24</v>
      </c>
      <c r="K352">
        <v>86.67</v>
      </c>
      <c r="L352" t="str" cm="1">
        <f t="array" ref="L352">_xlfn.IFS(Table1_1[[#This Row],[Load_Factor_%]]&lt;60,"Low",Table1_1[[#This Row],[Load_Factor_%]]&lt;85,"Intermediate",Table1_1[[#This Row],[Load_Factor_%]]&gt;=85,"High")</f>
        <v>High</v>
      </c>
      <c r="M352" s="4">
        <v>1242166</v>
      </c>
      <c r="N352" s="4">
        <v>72626</v>
      </c>
      <c r="O352" s="4">
        <f>SUM(Table1_1[[#This Row],[Ticket_Revenue_INR]:[Cargo_Revenue_INR]])</f>
        <v>1314792</v>
      </c>
      <c r="P352" s="4">
        <v>341087</v>
      </c>
      <c r="Q352" s="4">
        <v>799620</v>
      </c>
      <c r="R352" s="4">
        <f>SUM(Table1_1[[#This Row],[Fuel_Cost_INR]:[Operating_Cost_INR]])</f>
        <v>1140707</v>
      </c>
      <c r="S352" s="4">
        <f>Table1_1[[#This Row],[Total_Revenue]]-Table1_1[[#This Row],[Total_Cost]]</f>
        <v>174085</v>
      </c>
      <c r="T352" s="9">
        <f>(Table1_1[[#This Row],[Total_Profit]]/Table1_1[[#This Row],[Total_Revenue]])</f>
        <v>0.13240497356235814</v>
      </c>
      <c r="U352" s="5">
        <v>15</v>
      </c>
      <c r="V352" s="6" t="s">
        <v>33</v>
      </c>
      <c r="W352" s="8">
        <v>3.5</v>
      </c>
      <c r="X352" t="str" cm="1">
        <f t="array" ref="X352">_xlfn.IFS(Table1_1[[#This Row],[Customer_Rating]]&lt;3,"Poor",Table1_1[[#This Row],[Customer_Rating]]&lt;4,"Good",Table1_1[[#This Row],[Customer_Rating]]&gt;=4,"Excellent")</f>
        <v>Good</v>
      </c>
    </row>
    <row r="353" spans="1:24" x14ac:dyDescent="0.35">
      <c r="A353" s="2" t="s">
        <v>613</v>
      </c>
      <c r="B353" s="3">
        <v>45918</v>
      </c>
      <c r="C353" s="3" t="str">
        <f>TEXT(Table1_1[[#This Row],[Date]],"YYYY")</f>
        <v>2025</v>
      </c>
      <c r="D353" s="3" t="str">
        <f>TEXT(Table1_1[[#This Row],[Date]],"mmm")</f>
        <v>Sep</v>
      </c>
      <c r="E353" s="2" t="s">
        <v>39</v>
      </c>
      <c r="F353" s="2" t="str">
        <f>INDEX(IndiGo_Flight_Data!$R$2:$R$11,MATCH(Table1_1[[#This Row],[Route]],_xlfn.ANCHORARRAY(IndiGo_Flight_Data!$Q$2),0))</f>
        <v>Bengaluru - Delhi</v>
      </c>
      <c r="G353" s="2" t="s">
        <v>24</v>
      </c>
      <c r="H353">
        <v>171</v>
      </c>
      <c r="I353">
        <v>180</v>
      </c>
      <c r="J353">
        <f>Table1_1[[#This Row],[Seat_Capacity]]-Table1_1[[#This Row],[Passengers]]</f>
        <v>9</v>
      </c>
      <c r="K353">
        <v>95</v>
      </c>
      <c r="L353" t="str" cm="1">
        <f t="array" ref="L353">_xlfn.IFS(Table1_1[[#This Row],[Load_Factor_%]]&lt;60,"Low",Table1_1[[#This Row],[Load_Factor_%]]&lt;85,"Intermediate",Table1_1[[#This Row],[Load_Factor_%]]&gt;=85,"High")</f>
        <v>High</v>
      </c>
      <c r="M353" s="4">
        <v>1025563</v>
      </c>
      <c r="N353" s="4">
        <v>123793</v>
      </c>
      <c r="O353" s="4">
        <f>SUM(Table1_1[[#This Row],[Ticket_Revenue_INR]:[Cargo_Revenue_INR]])</f>
        <v>1149356</v>
      </c>
      <c r="P353" s="4">
        <v>1174426</v>
      </c>
      <c r="Q353" s="4">
        <v>1508241</v>
      </c>
      <c r="R353" s="4">
        <f>SUM(Table1_1[[#This Row],[Fuel_Cost_INR]:[Operating_Cost_INR]])</f>
        <v>2682667</v>
      </c>
      <c r="S353" s="4">
        <f>Table1_1[[#This Row],[Total_Revenue]]-Table1_1[[#This Row],[Total_Cost]]</f>
        <v>-1533311</v>
      </c>
      <c r="T353" s="9">
        <f>(Table1_1[[#This Row],[Total_Profit]]/Table1_1[[#This Row],[Total_Revenue]])</f>
        <v>-1.3340609871963083</v>
      </c>
      <c r="U353" s="5">
        <v>79</v>
      </c>
      <c r="V353" s="6" t="s">
        <v>18</v>
      </c>
      <c r="W353" s="8">
        <v>4.4000000000000004</v>
      </c>
      <c r="X353" t="str" cm="1">
        <f t="array" ref="X353">_xlfn.IFS(Table1_1[[#This Row],[Customer_Rating]]&lt;3,"Poor",Table1_1[[#This Row],[Customer_Rating]]&lt;4,"Good",Table1_1[[#This Row],[Customer_Rating]]&gt;=4,"Excellent")</f>
        <v>Excellent</v>
      </c>
    </row>
    <row r="354" spans="1:24" x14ac:dyDescent="0.35">
      <c r="A354" s="2" t="s">
        <v>614</v>
      </c>
      <c r="B354" s="3">
        <v>45908</v>
      </c>
      <c r="C354" s="3" t="str">
        <f>TEXT(Table1_1[[#This Row],[Date]],"YYYY")</f>
        <v>2025</v>
      </c>
      <c r="D354" s="3" t="str">
        <f>TEXT(Table1_1[[#This Row],[Date]],"mmm")</f>
        <v>Sep</v>
      </c>
      <c r="E354" s="2" t="s">
        <v>42</v>
      </c>
      <c r="F354" s="2" t="str">
        <f>INDEX(IndiGo_Flight_Data!$R$2:$R$11,MATCH(Table1_1[[#This Row],[Route]],_xlfn.ANCHORARRAY(IndiGo_Flight_Data!$Q$2),0))</f>
        <v>Bombay - Hyderabad</v>
      </c>
      <c r="G354" s="2" t="s">
        <v>24</v>
      </c>
      <c r="H354">
        <v>120</v>
      </c>
      <c r="I354">
        <v>180</v>
      </c>
      <c r="J354">
        <f>Table1_1[[#This Row],[Seat_Capacity]]-Table1_1[[#This Row],[Passengers]]</f>
        <v>60</v>
      </c>
      <c r="K354">
        <v>66.67</v>
      </c>
      <c r="L354" t="str" cm="1">
        <f t="array" ref="L354">_xlfn.IFS(Table1_1[[#This Row],[Load_Factor_%]]&lt;60,"Low",Table1_1[[#This Row],[Load_Factor_%]]&lt;85,"Intermediate",Table1_1[[#This Row],[Load_Factor_%]]&gt;=85,"High")</f>
        <v>Intermediate</v>
      </c>
      <c r="M354" s="4">
        <v>816244</v>
      </c>
      <c r="N354" s="4">
        <v>139897</v>
      </c>
      <c r="O354" s="4">
        <f>SUM(Table1_1[[#This Row],[Ticket_Revenue_INR]:[Cargo_Revenue_INR]])</f>
        <v>956141</v>
      </c>
      <c r="P354" s="4">
        <v>1098070</v>
      </c>
      <c r="Q354" s="4">
        <v>1296308</v>
      </c>
      <c r="R354" s="4">
        <f>SUM(Table1_1[[#This Row],[Fuel_Cost_INR]:[Operating_Cost_INR]])</f>
        <v>2394378</v>
      </c>
      <c r="S354" s="4">
        <f>Table1_1[[#This Row],[Total_Revenue]]-Table1_1[[#This Row],[Total_Cost]]</f>
        <v>-1438237</v>
      </c>
      <c r="T354" s="9">
        <f>(Table1_1[[#This Row],[Total_Profit]]/Table1_1[[#This Row],[Total_Revenue]])</f>
        <v>-1.5042101531050336</v>
      </c>
      <c r="U354" s="5">
        <v>59</v>
      </c>
      <c r="V354" s="6" t="s">
        <v>18</v>
      </c>
      <c r="W354" s="8">
        <v>3.5</v>
      </c>
      <c r="X354" t="str" cm="1">
        <f t="array" ref="X354">_xlfn.IFS(Table1_1[[#This Row],[Customer_Rating]]&lt;3,"Poor",Table1_1[[#This Row],[Customer_Rating]]&lt;4,"Good",Table1_1[[#This Row],[Customer_Rating]]&gt;=4,"Excellent")</f>
        <v>Good</v>
      </c>
    </row>
    <row r="355" spans="1:24" x14ac:dyDescent="0.35">
      <c r="A355" s="2" t="s">
        <v>615</v>
      </c>
      <c r="B355" s="3">
        <v>45896</v>
      </c>
      <c r="C355" s="3" t="str">
        <f>TEXT(Table1_1[[#This Row],[Date]],"YYYY")</f>
        <v>2025</v>
      </c>
      <c r="D355" s="3" t="str">
        <f>TEXT(Table1_1[[#This Row],[Date]],"mmm")</f>
        <v>Aug</v>
      </c>
      <c r="E355" s="2" t="s">
        <v>76</v>
      </c>
      <c r="F355" s="2" t="str">
        <f>INDEX(IndiGo_Flight_Data!$R$2:$R$11,MATCH(Table1_1[[#This Row],[Route]],_xlfn.ANCHORARRAY(IndiGo_Flight_Data!$Q$2),0))</f>
        <v>Madras - Delhi</v>
      </c>
      <c r="G355" s="2" t="s">
        <v>24</v>
      </c>
      <c r="H355">
        <v>159</v>
      </c>
      <c r="I355">
        <v>180</v>
      </c>
      <c r="J355">
        <f>Table1_1[[#This Row],[Seat_Capacity]]-Table1_1[[#This Row],[Passengers]]</f>
        <v>21</v>
      </c>
      <c r="K355">
        <v>88.33</v>
      </c>
      <c r="L355" t="str" cm="1">
        <f t="array" ref="L355">_xlfn.IFS(Table1_1[[#This Row],[Load_Factor_%]]&lt;60,"Low",Table1_1[[#This Row],[Load_Factor_%]]&lt;85,"Intermediate",Table1_1[[#This Row],[Load_Factor_%]]&gt;=85,"High")</f>
        <v>High</v>
      </c>
      <c r="M355" s="4">
        <v>966763</v>
      </c>
      <c r="N355" s="4">
        <v>117141</v>
      </c>
      <c r="O355" s="4">
        <f>SUM(Table1_1[[#This Row],[Ticket_Revenue_INR]:[Cargo_Revenue_INR]])</f>
        <v>1083904</v>
      </c>
      <c r="P355" s="4">
        <v>756982</v>
      </c>
      <c r="Q355" s="4">
        <v>1405617</v>
      </c>
      <c r="R355" s="4">
        <f>SUM(Table1_1[[#This Row],[Fuel_Cost_INR]:[Operating_Cost_INR]])</f>
        <v>2162599</v>
      </c>
      <c r="S355" s="4">
        <f>Table1_1[[#This Row],[Total_Revenue]]-Table1_1[[#This Row],[Total_Cost]]</f>
        <v>-1078695</v>
      </c>
      <c r="T355" s="9">
        <f>(Table1_1[[#This Row],[Total_Profit]]/Table1_1[[#This Row],[Total_Revenue]])</f>
        <v>-0.99519422384270195</v>
      </c>
      <c r="U355" s="5">
        <v>69</v>
      </c>
      <c r="V355" s="6" t="s">
        <v>18</v>
      </c>
      <c r="W355" s="8">
        <v>4.5</v>
      </c>
      <c r="X355" t="str" cm="1">
        <f t="array" ref="X355">_xlfn.IFS(Table1_1[[#This Row],[Customer_Rating]]&lt;3,"Poor",Table1_1[[#This Row],[Customer_Rating]]&lt;4,"Good",Table1_1[[#This Row],[Customer_Rating]]&gt;=4,"Excellent")</f>
        <v>Excellent</v>
      </c>
    </row>
    <row r="356" spans="1:24" x14ac:dyDescent="0.35">
      <c r="A356" s="2" t="s">
        <v>616</v>
      </c>
      <c r="B356" s="3">
        <v>45915</v>
      </c>
      <c r="C356" s="3" t="str">
        <f>TEXT(Table1_1[[#This Row],[Date]],"YYYY")</f>
        <v>2025</v>
      </c>
      <c r="D356" s="3" t="str">
        <f>TEXT(Table1_1[[#This Row],[Date]],"mmm")</f>
        <v>Sep</v>
      </c>
      <c r="E356" s="2" t="s">
        <v>42</v>
      </c>
      <c r="F356" s="2" t="str">
        <f>INDEX(IndiGo_Flight_Data!$R$2:$R$11,MATCH(Table1_1[[#This Row],[Route]],_xlfn.ANCHORARRAY(IndiGo_Flight_Data!$Q$2),0))</f>
        <v>Bombay - Hyderabad</v>
      </c>
      <c r="G356" s="2" t="s">
        <v>17</v>
      </c>
      <c r="H356">
        <v>61</v>
      </c>
      <c r="I356">
        <v>78</v>
      </c>
      <c r="J356">
        <f>Table1_1[[#This Row],[Seat_Capacity]]-Table1_1[[#This Row],[Passengers]]</f>
        <v>17</v>
      </c>
      <c r="K356">
        <v>78.209999999999994</v>
      </c>
      <c r="L356" t="str" cm="1">
        <f t="array" ref="L356">_xlfn.IFS(Table1_1[[#This Row],[Load_Factor_%]]&lt;60,"Low",Table1_1[[#This Row],[Load_Factor_%]]&lt;85,"Intermediate",Table1_1[[#This Row],[Load_Factor_%]]&gt;=85,"High")</f>
        <v>Intermediate</v>
      </c>
      <c r="M356" s="4">
        <v>419937</v>
      </c>
      <c r="N356" s="4">
        <v>60916</v>
      </c>
      <c r="O356" s="4">
        <f>SUM(Table1_1[[#This Row],[Ticket_Revenue_INR]:[Cargo_Revenue_INR]])</f>
        <v>480853</v>
      </c>
      <c r="P356" s="4">
        <v>413269</v>
      </c>
      <c r="Q356" s="4">
        <v>843508</v>
      </c>
      <c r="R356" s="4">
        <f>SUM(Table1_1[[#This Row],[Fuel_Cost_INR]:[Operating_Cost_INR]])</f>
        <v>1256777</v>
      </c>
      <c r="S356" s="4">
        <f>Table1_1[[#This Row],[Total_Revenue]]-Table1_1[[#This Row],[Total_Cost]]</f>
        <v>-775924</v>
      </c>
      <c r="T356" s="9">
        <f>(Table1_1[[#This Row],[Total_Profit]]/Table1_1[[#This Row],[Total_Revenue]])</f>
        <v>-1.6136407592341111</v>
      </c>
      <c r="U356" s="5">
        <v>29</v>
      </c>
      <c r="V356" s="6" t="s">
        <v>18</v>
      </c>
      <c r="W356" s="8">
        <v>4.7</v>
      </c>
      <c r="X356" t="str" cm="1">
        <f t="array" ref="X356">_xlfn.IFS(Table1_1[[#This Row],[Customer_Rating]]&lt;3,"Poor",Table1_1[[#This Row],[Customer_Rating]]&lt;4,"Good",Table1_1[[#This Row],[Customer_Rating]]&gt;=4,"Excellent")</f>
        <v>Excellent</v>
      </c>
    </row>
    <row r="357" spans="1:24" x14ac:dyDescent="0.35">
      <c r="A357" s="2" t="s">
        <v>618</v>
      </c>
      <c r="B357" s="3">
        <v>45887</v>
      </c>
      <c r="C357" s="3" t="str">
        <f>TEXT(Table1_1[[#This Row],[Date]],"YYYY")</f>
        <v>2025</v>
      </c>
      <c r="D357" s="3" t="str">
        <f>TEXT(Table1_1[[#This Row],[Date]],"mmm")</f>
        <v>Aug</v>
      </c>
      <c r="E357" s="2" t="s">
        <v>39</v>
      </c>
      <c r="F357" s="2" t="str">
        <f>INDEX(IndiGo_Flight_Data!$R$2:$R$11,MATCH(Table1_1[[#This Row],[Route]],_xlfn.ANCHORARRAY(IndiGo_Flight_Data!$Q$2),0))</f>
        <v>Bengaluru - Delhi</v>
      </c>
      <c r="G357" s="2" t="s">
        <v>17</v>
      </c>
      <c r="H357">
        <v>55</v>
      </c>
      <c r="I357">
        <v>78</v>
      </c>
      <c r="J357">
        <f>Table1_1[[#This Row],[Seat_Capacity]]-Table1_1[[#This Row],[Passengers]]</f>
        <v>23</v>
      </c>
      <c r="K357">
        <v>70.510000000000005</v>
      </c>
      <c r="L357" t="str" cm="1">
        <f t="array" ref="L357">_xlfn.IFS(Table1_1[[#This Row],[Load_Factor_%]]&lt;60,"Low",Table1_1[[#This Row],[Load_Factor_%]]&lt;85,"Intermediate",Table1_1[[#This Row],[Load_Factor_%]]&gt;=85,"High")</f>
        <v>Intermediate</v>
      </c>
      <c r="M357" s="4">
        <v>237213</v>
      </c>
      <c r="N357" s="4">
        <v>141626</v>
      </c>
      <c r="O357" s="4">
        <f>SUM(Table1_1[[#This Row],[Ticket_Revenue_INR]:[Cargo_Revenue_INR]])</f>
        <v>378839</v>
      </c>
      <c r="P357" s="4">
        <v>498553</v>
      </c>
      <c r="Q357" s="4">
        <v>1188842</v>
      </c>
      <c r="R357" s="4">
        <f>SUM(Table1_1[[#This Row],[Fuel_Cost_INR]:[Operating_Cost_INR]])</f>
        <v>1687395</v>
      </c>
      <c r="S357" s="4">
        <f>Table1_1[[#This Row],[Total_Revenue]]-Table1_1[[#This Row],[Total_Cost]]</f>
        <v>-1308556</v>
      </c>
      <c r="T357" s="9">
        <f>(Table1_1[[#This Row],[Total_Profit]]/Table1_1[[#This Row],[Total_Revenue]])</f>
        <v>-3.4541216717391823</v>
      </c>
      <c r="U357" s="5">
        <v>83</v>
      </c>
      <c r="V357" s="6" t="s">
        <v>18</v>
      </c>
      <c r="W357" s="8">
        <v>3.3</v>
      </c>
      <c r="X357" t="str" cm="1">
        <f t="array" ref="X357">_xlfn.IFS(Table1_1[[#This Row],[Customer_Rating]]&lt;3,"Poor",Table1_1[[#This Row],[Customer_Rating]]&lt;4,"Good",Table1_1[[#This Row],[Customer_Rating]]&gt;=4,"Excellent")</f>
        <v>Good</v>
      </c>
    </row>
    <row r="358" spans="1:24" x14ac:dyDescent="0.35">
      <c r="A358" s="2" t="s">
        <v>619</v>
      </c>
      <c r="B358" s="3">
        <v>45760</v>
      </c>
      <c r="C358" s="3" t="str">
        <f>TEXT(Table1_1[[#This Row],[Date]],"YYYY")</f>
        <v>2025</v>
      </c>
      <c r="D358" s="3" t="str">
        <f>TEXT(Table1_1[[#This Row],[Date]],"mmm")</f>
        <v>Apr</v>
      </c>
      <c r="E358" s="2" t="s">
        <v>36</v>
      </c>
      <c r="F358" s="2" t="str">
        <f>INDEX(IndiGo_Flight_Data!$R$2:$R$11,MATCH(Table1_1[[#This Row],[Route]],_xlfn.ANCHORARRAY(IndiGo_Flight_Data!$Q$2),0))</f>
        <v>Delhi - Bombay</v>
      </c>
      <c r="G358" s="2" t="s">
        <v>17</v>
      </c>
      <c r="H358">
        <v>65</v>
      </c>
      <c r="I358">
        <v>78</v>
      </c>
      <c r="J358">
        <f>Table1_1[[#This Row],[Seat_Capacity]]-Table1_1[[#This Row],[Passengers]]</f>
        <v>13</v>
      </c>
      <c r="K358">
        <v>83.33</v>
      </c>
      <c r="L358" t="str" cm="1">
        <f t="array" ref="L358">_xlfn.IFS(Table1_1[[#This Row],[Load_Factor_%]]&lt;60,"Low",Table1_1[[#This Row],[Load_Factor_%]]&lt;85,"Intermediate",Table1_1[[#This Row],[Load_Factor_%]]&gt;=85,"High")</f>
        <v>Intermediate</v>
      </c>
      <c r="M358" s="4">
        <v>231143</v>
      </c>
      <c r="N358" s="4">
        <v>36026</v>
      </c>
      <c r="O358" s="4">
        <f>SUM(Table1_1[[#This Row],[Ticket_Revenue_INR]:[Cargo_Revenue_INR]])</f>
        <v>267169</v>
      </c>
      <c r="P358" s="4">
        <v>513516</v>
      </c>
      <c r="Q358" s="4">
        <v>773919</v>
      </c>
      <c r="R358" s="4">
        <f>SUM(Table1_1[[#This Row],[Fuel_Cost_INR]:[Operating_Cost_INR]])</f>
        <v>1287435</v>
      </c>
      <c r="S358" s="4">
        <f>Table1_1[[#This Row],[Total_Revenue]]-Table1_1[[#This Row],[Total_Cost]]</f>
        <v>-1020266</v>
      </c>
      <c r="T358" s="9">
        <f>(Table1_1[[#This Row],[Total_Profit]]/Table1_1[[#This Row],[Total_Revenue]])</f>
        <v>-3.8188038282884618</v>
      </c>
      <c r="U358" s="5">
        <v>53</v>
      </c>
      <c r="V358" s="6" t="s">
        <v>18</v>
      </c>
      <c r="W358" s="8">
        <v>4.3</v>
      </c>
      <c r="X358" t="str" cm="1">
        <f t="array" ref="X358">_xlfn.IFS(Table1_1[[#This Row],[Customer_Rating]]&lt;3,"Poor",Table1_1[[#This Row],[Customer_Rating]]&lt;4,"Good",Table1_1[[#This Row],[Customer_Rating]]&gt;=4,"Excellent")</f>
        <v>Excellent</v>
      </c>
    </row>
    <row r="359" spans="1:24" x14ac:dyDescent="0.35">
      <c r="A359" s="2" t="s">
        <v>621</v>
      </c>
      <c r="B359" s="3">
        <v>45705</v>
      </c>
      <c r="C359" s="3" t="str">
        <f>TEXT(Table1_1[[#This Row],[Date]],"YYYY")</f>
        <v>2025</v>
      </c>
      <c r="D359" s="3" t="str">
        <f>TEXT(Table1_1[[#This Row],[Date]],"mmm")</f>
        <v>Feb</v>
      </c>
      <c r="E359" s="2" t="s">
        <v>32</v>
      </c>
      <c r="F359" s="2" t="str">
        <f>INDEX(IndiGo_Flight_Data!$R$2:$R$11,MATCH(Table1_1[[#This Row],[Route]],_xlfn.ANCHORARRAY(IndiGo_Flight_Data!$Q$2),0))</f>
        <v>Bengaluru - Cochin</v>
      </c>
      <c r="G359" s="2" t="s">
        <v>43</v>
      </c>
      <c r="H359">
        <v>146</v>
      </c>
      <c r="I359">
        <v>232</v>
      </c>
      <c r="J359">
        <f>Table1_1[[#This Row],[Seat_Capacity]]-Table1_1[[#This Row],[Passengers]]</f>
        <v>86</v>
      </c>
      <c r="K359">
        <v>62.93</v>
      </c>
      <c r="L359" t="str" cm="1">
        <f t="array" ref="L359">_xlfn.IFS(Table1_1[[#This Row],[Load_Factor_%]]&lt;60,"Low",Table1_1[[#This Row],[Load_Factor_%]]&lt;85,"Intermediate",Table1_1[[#This Row],[Load_Factor_%]]&gt;=85,"High")</f>
        <v>Intermediate</v>
      </c>
      <c r="M359" s="4">
        <v>599695</v>
      </c>
      <c r="N359" s="4">
        <v>65442</v>
      </c>
      <c r="O359" s="4">
        <f>SUM(Table1_1[[#This Row],[Ticket_Revenue_INR]:[Cargo_Revenue_INR]])</f>
        <v>665137</v>
      </c>
      <c r="P359" s="4">
        <v>505613</v>
      </c>
      <c r="Q359" s="4">
        <v>739544</v>
      </c>
      <c r="R359" s="4">
        <f>SUM(Table1_1[[#This Row],[Fuel_Cost_INR]:[Operating_Cost_INR]])</f>
        <v>1245157</v>
      </c>
      <c r="S359" s="4">
        <f>Table1_1[[#This Row],[Total_Revenue]]-Table1_1[[#This Row],[Total_Cost]]</f>
        <v>-580020</v>
      </c>
      <c r="T359" s="9">
        <f>(Table1_1[[#This Row],[Total_Profit]]/Table1_1[[#This Row],[Total_Revenue]])</f>
        <v>-0.87203087484232567</v>
      </c>
      <c r="U359" s="5">
        <v>33</v>
      </c>
      <c r="V359" s="6" t="s">
        <v>18</v>
      </c>
      <c r="W359" s="8">
        <v>4.4000000000000004</v>
      </c>
      <c r="X359" t="str" cm="1">
        <f t="array" ref="X359">_xlfn.IFS(Table1_1[[#This Row],[Customer_Rating]]&lt;3,"Poor",Table1_1[[#This Row],[Customer_Rating]]&lt;4,"Good",Table1_1[[#This Row],[Customer_Rating]]&gt;=4,"Excellent")</f>
        <v>Excellent</v>
      </c>
    </row>
    <row r="360" spans="1:24" x14ac:dyDescent="0.35">
      <c r="A360" s="2" t="s">
        <v>622</v>
      </c>
      <c r="B360" s="3">
        <v>46014</v>
      </c>
      <c r="C360" s="3" t="str">
        <f>TEXT(Table1_1[[#This Row],[Date]],"YYYY")</f>
        <v>2025</v>
      </c>
      <c r="D360" s="3" t="str">
        <f>TEXT(Table1_1[[#This Row],[Date]],"mmm")</f>
        <v>Dec</v>
      </c>
      <c r="E360" s="2" t="s">
        <v>29</v>
      </c>
      <c r="F360" s="2" t="str">
        <f>INDEX(IndiGo_Flight_Data!$R$2:$R$11,MATCH(Table1_1[[#This Row],[Route]],_xlfn.ANCHORARRAY(IndiGo_Flight_Data!$Q$2),0))</f>
        <v>Calacatta - Delhi</v>
      </c>
      <c r="G360" s="2" t="s">
        <v>43</v>
      </c>
      <c r="H360">
        <v>203</v>
      </c>
      <c r="I360">
        <v>232</v>
      </c>
      <c r="J360">
        <f>Table1_1[[#This Row],[Seat_Capacity]]-Table1_1[[#This Row],[Passengers]]</f>
        <v>29</v>
      </c>
      <c r="K360">
        <v>87.5</v>
      </c>
      <c r="L360" t="str" cm="1">
        <f t="array" ref="L360">_xlfn.IFS(Table1_1[[#This Row],[Load_Factor_%]]&lt;60,"Low",Table1_1[[#This Row],[Load_Factor_%]]&lt;85,"Intermediate",Table1_1[[#This Row],[Load_Factor_%]]&gt;=85,"High")</f>
        <v>High</v>
      </c>
      <c r="M360" s="4">
        <v>1538717</v>
      </c>
      <c r="N360" s="4">
        <v>42137</v>
      </c>
      <c r="O360" s="4">
        <f>SUM(Table1_1[[#This Row],[Ticket_Revenue_INR]:[Cargo_Revenue_INR]])</f>
        <v>1580854</v>
      </c>
      <c r="P360" s="4">
        <v>980103</v>
      </c>
      <c r="Q360" s="4">
        <v>1292681</v>
      </c>
      <c r="R360" s="4">
        <f>SUM(Table1_1[[#This Row],[Fuel_Cost_INR]:[Operating_Cost_INR]])</f>
        <v>2272784</v>
      </c>
      <c r="S360" s="4">
        <f>Table1_1[[#This Row],[Total_Revenue]]-Table1_1[[#This Row],[Total_Cost]]</f>
        <v>-691930</v>
      </c>
      <c r="T360" s="9">
        <f>(Table1_1[[#This Row],[Total_Profit]]/Table1_1[[#This Row],[Total_Revenue]])</f>
        <v>-0.4376938034758428</v>
      </c>
      <c r="U360" s="5">
        <v>40</v>
      </c>
      <c r="V360" s="6" t="s">
        <v>18</v>
      </c>
      <c r="W360" s="8">
        <v>4.5</v>
      </c>
      <c r="X360" t="str" cm="1">
        <f t="array" ref="X360">_xlfn.IFS(Table1_1[[#This Row],[Customer_Rating]]&lt;3,"Poor",Table1_1[[#This Row],[Customer_Rating]]&lt;4,"Good",Table1_1[[#This Row],[Customer_Rating]]&gt;=4,"Excellent")</f>
        <v>Excellent</v>
      </c>
    </row>
    <row r="361" spans="1:24" x14ac:dyDescent="0.35">
      <c r="A361" s="2" t="s">
        <v>623</v>
      </c>
      <c r="B361" s="3">
        <v>45870</v>
      </c>
      <c r="C361" s="3" t="str">
        <f>TEXT(Table1_1[[#This Row],[Date]],"YYYY")</f>
        <v>2025</v>
      </c>
      <c r="D361" s="3" t="str">
        <f>TEXT(Table1_1[[#This Row],[Date]],"mmm")</f>
        <v>Aug</v>
      </c>
      <c r="E361" s="2" t="s">
        <v>76</v>
      </c>
      <c r="F361" s="2" t="str">
        <f>INDEX(IndiGo_Flight_Data!$R$2:$R$11,MATCH(Table1_1[[#This Row],[Route]],_xlfn.ANCHORARRAY(IndiGo_Flight_Data!$Q$2),0))</f>
        <v>Madras - Delhi</v>
      </c>
      <c r="G361" s="2" t="s">
        <v>17</v>
      </c>
      <c r="H361">
        <v>57</v>
      </c>
      <c r="I361">
        <v>78</v>
      </c>
      <c r="J361">
        <f>Table1_1[[#This Row],[Seat_Capacity]]-Table1_1[[#This Row],[Passengers]]</f>
        <v>21</v>
      </c>
      <c r="K361">
        <v>73.08</v>
      </c>
      <c r="L361" t="str" cm="1">
        <f t="array" ref="L361">_xlfn.IFS(Table1_1[[#This Row],[Load_Factor_%]]&lt;60,"Low",Table1_1[[#This Row],[Load_Factor_%]]&lt;85,"Intermediate",Table1_1[[#This Row],[Load_Factor_%]]&gt;=85,"High")</f>
        <v>Intermediate</v>
      </c>
      <c r="M361" s="4">
        <v>366100</v>
      </c>
      <c r="N361" s="4">
        <v>79000</v>
      </c>
      <c r="O361" s="4">
        <f>SUM(Table1_1[[#This Row],[Ticket_Revenue_INR]:[Cargo_Revenue_INR]])</f>
        <v>445100</v>
      </c>
      <c r="P361" s="4">
        <v>279995</v>
      </c>
      <c r="Q361" s="4">
        <v>948353</v>
      </c>
      <c r="R361" s="4">
        <f>SUM(Table1_1[[#This Row],[Fuel_Cost_INR]:[Operating_Cost_INR]])</f>
        <v>1228348</v>
      </c>
      <c r="S361" s="4">
        <f>Table1_1[[#This Row],[Total_Revenue]]-Table1_1[[#This Row],[Total_Cost]]</f>
        <v>-783248</v>
      </c>
      <c r="T361" s="9">
        <f>(Table1_1[[#This Row],[Total_Profit]]/Table1_1[[#This Row],[Total_Revenue]])</f>
        <v>-1.7597124241743429</v>
      </c>
      <c r="U361" s="5">
        <v>55</v>
      </c>
      <c r="V361" s="6" t="s">
        <v>18</v>
      </c>
      <c r="W361" s="8">
        <v>4.5</v>
      </c>
      <c r="X361" t="str" cm="1">
        <f t="array" ref="X361">_xlfn.IFS(Table1_1[[#This Row],[Customer_Rating]]&lt;3,"Poor",Table1_1[[#This Row],[Customer_Rating]]&lt;4,"Good",Table1_1[[#This Row],[Customer_Rating]]&gt;=4,"Excellent")</f>
        <v>Excellent</v>
      </c>
    </row>
    <row r="362" spans="1:24" x14ac:dyDescent="0.35">
      <c r="A362" s="2" t="s">
        <v>624</v>
      </c>
      <c r="B362" s="3">
        <v>46015</v>
      </c>
      <c r="C362" s="3" t="str">
        <f>TEXT(Table1_1[[#This Row],[Date]],"YYYY")</f>
        <v>2025</v>
      </c>
      <c r="D362" s="3" t="str">
        <f>TEXT(Table1_1[[#This Row],[Date]],"mmm")</f>
        <v>Dec</v>
      </c>
      <c r="E362" s="2" t="s">
        <v>39</v>
      </c>
      <c r="F362" s="2" t="str">
        <f>INDEX(IndiGo_Flight_Data!$R$2:$R$11,MATCH(Table1_1[[#This Row],[Route]],_xlfn.ANCHORARRAY(IndiGo_Flight_Data!$Q$2),0))</f>
        <v>Bengaluru - Delhi</v>
      </c>
      <c r="G362" s="2" t="s">
        <v>43</v>
      </c>
      <c r="H362">
        <v>216</v>
      </c>
      <c r="I362">
        <v>232</v>
      </c>
      <c r="J362">
        <f>Table1_1[[#This Row],[Seat_Capacity]]-Table1_1[[#This Row],[Passengers]]</f>
        <v>16</v>
      </c>
      <c r="K362">
        <v>93.1</v>
      </c>
      <c r="L362" t="str" cm="1">
        <f t="array" ref="L362">_xlfn.IFS(Table1_1[[#This Row],[Load_Factor_%]]&lt;60,"Low",Table1_1[[#This Row],[Load_Factor_%]]&lt;85,"Intermediate",Table1_1[[#This Row],[Load_Factor_%]]&gt;=85,"High")</f>
        <v>High</v>
      </c>
      <c r="M362" s="4">
        <v>1099834</v>
      </c>
      <c r="N362" s="4">
        <v>15307</v>
      </c>
      <c r="O362" s="4">
        <f>SUM(Table1_1[[#This Row],[Ticket_Revenue_INR]:[Cargo_Revenue_INR]])</f>
        <v>1115141</v>
      </c>
      <c r="P362" s="4">
        <v>825439</v>
      </c>
      <c r="Q362" s="4">
        <v>1026977</v>
      </c>
      <c r="R362" s="4">
        <f>SUM(Table1_1[[#This Row],[Fuel_Cost_INR]:[Operating_Cost_INR]])</f>
        <v>1852416</v>
      </c>
      <c r="S362" s="4">
        <f>Table1_1[[#This Row],[Total_Revenue]]-Table1_1[[#This Row],[Total_Cost]]</f>
        <v>-737275</v>
      </c>
      <c r="T362" s="9">
        <f>(Table1_1[[#This Row],[Total_Profit]]/Table1_1[[#This Row],[Total_Revenue]])</f>
        <v>-0.66114957660062723</v>
      </c>
      <c r="U362" s="5">
        <v>37</v>
      </c>
      <c r="V362" s="6" t="s">
        <v>18</v>
      </c>
      <c r="W362" s="8">
        <v>3.8</v>
      </c>
      <c r="X362" t="str" cm="1">
        <f t="array" ref="X362">_xlfn.IFS(Table1_1[[#This Row],[Customer_Rating]]&lt;3,"Poor",Table1_1[[#This Row],[Customer_Rating]]&lt;4,"Good",Table1_1[[#This Row],[Customer_Rating]]&gt;=4,"Excellent")</f>
        <v>Good</v>
      </c>
    </row>
    <row r="363" spans="1:24" x14ac:dyDescent="0.35">
      <c r="A363" s="2" t="s">
        <v>626</v>
      </c>
      <c r="B363" s="3">
        <v>45849</v>
      </c>
      <c r="C363" s="3" t="str">
        <f>TEXT(Table1_1[[#This Row],[Date]],"YYYY")</f>
        <v>2025</v>
      </c>
      <c r="D363" s="3" t="str">
        <f>TEXT(Table1_1[[#This Row],[Date]],"mmm")</f>
        <v>Jul</v>
      </c>
      <c r="E363" s="2" t="s">
        <v>117</v>
      </c>
      <c r="F363" s="2" t="str">
        <f>INDEX(IndiGo_Flight_Data!$R$2:$R$11,MATCH(Table1_1[[#This Row],[Route]],_xlfn.ANCHORARRAY(IndiGo_Flight_Data!$Q$2),0))</f>
        <v>Bengaluru - Calacatta</v>
      </c>
      <c r="G363" s="2" t="s">
        <v>17</v>
      </c>
      <c r="H363">
        <v>56</v>
      </c>
      <c r="I363">
        <v>78</v>
      </c>
      <c r="J363">
        <f>Table1_1[[#This Row],[Seat_Capacity]]-Table1_1[[#This Row],[Passengers]]</f>
        <v>22</v>
      </c>
      <c r="K363">
        <v>71.790000000000006</v>
      </c>
      <c r="L363" t="str" cm="1">
        <f t="array" ref="L363">_xlfn.IFS(Table1_1[[#This Row],[Load_Factor_%]]&lt;60,"Low",Table1_1[[#This Row],[Load_Factor_%]]&lt;85,"Intermediate",Table1_1[[#This Row],[Load_Factor_%]]&gt;=85,"High")</f>
        <v>Intermediate</v>
      </c>
      <c r="M363" s="4">
        <v>381408</v>
      </c>
      <c r="N363" s="4">
        <v>32100</v>
      </c>
      <c r="O363" s="4">
        <f>SUM(Table1_1[[#This Row],[Ticket_Revenue_INR]:[Cargo_Revenue_INR]])</f>
        <v>413508</v>
      </c>
      <c r="P363" s="4">
        <v>449505</v>
      </c>
      <c r="Q363" s="4">
        <v>621391</v>
      </c>
      <c r="R363" s="4">
        <f>SUM(Table1_1[[#This Row],[Fuel_Cost_INR]:[Operating_Cost_INR]])</f>
        <v>1070896</v>
      </c>
      <c r="S363" s="4">
        <f>Table1_1[[#This Row],[Total_Revenue]]-Table1_1[[#This Row],[Total_Cost]]</f>
        <v>-657388</v>
      </c>
      <c r="T363" s="9">
        <f>(Table1_1[[#This Row],[Total_Profit]]/Table1_1[[#This Row],[Total_Revenue]])</f>
        <v>-1.5897830271723885</v>
      </c>
      <c r="U363" s="5">
        <v>23</v>
      </c>
      <c r="V363" s="6" t="s">
        <v>18</v>
      </c>
      <c r="W363" s="8">
        <v>4.7</v>
      </c>
      <c r="X363" t="str" cm="1">
        <f t="array" ref="X363">_xlfn.IFS(Table1_1[[#This Row],[Customer_Rating]]&lt;3,"Poor",Table1_1[[#This Row],[Customer_Rating]]&lt;4,"Good",Table1_1[[#This Row],[Customer_Rating]]&gt;=4,"Excellent")</f>
        <v>Excellent</v>
      </c>
    </row>
    <row r="364" spans="1:24" x14ac:dyDescent="0.35">
      <c r="A364" s="2" t="s">
        <v>627</v>
      </c>
      <c r="B364" s="3">
        <v>45923</v>
      </c>
      <c r="C364" s="3" t="str">
        <f>TEXT(Table1_1[[#This Row],[Date]],"YYYY")</f>
        <v>2025</v>
      </c>
      <c r="D364" s="3" t="str">
        <f>TEXT(Table1_1[[#This Row],[Date]],"mmm")</f>
        <v>Sep</v>
      </c>
      <c r="E364" s="2" t="s">
        <v>16</v>
      </c>
      <c r="F364" s="2" t="str">
        <f>INDEX(IndiGo_Flight_Data!$R$2:$R$11,MATCH(Table1_1[[#This Row],[Route]],_xlfn.ANCHORARRAY(IndiGo_Flight_Data!$Q$2),0))</f>
        <v>Delhi - Goa</v>
      </c>
      <c r="G364" s="2" t="s">
        <v>17</v>
      </c>
      <c r="H364">
        <v>47</v>
      </c>
      <c r="I364">
        <v>78</v>
      </c>
      <c r="J364">
        <f>Table1_1[[#This Row],[Seat_Capacity]]-Table1_1[[#This Row],[Passengers]]</f>
        <v>31</v>
      </c>
      <c r="K364">
        <v>60.26</v>
      </c>
      <c r="L364" t="str" cm="1">
        <f t="array" ref="L364">_xlfn.IFS(Table1_1[[#This Row],[Load_Factor_%]]&lt;60,"Low",Table1_1[[#This Row],[Load_Factor_%]]&lt;85,"Intermediate",Table1_1[[#This Row],[Load_Factor_%]]&gt;=85,"High")</f>
        <v>Intermediate</v>
      </c>
      <c r="M364" s="4">
        <v>306973</v>
      </c>
      <c r="N364" s="4">
        <v>75977</v>
      </c>
      <c r="O364" s="4">
        <f>SUM(Table1_1[[#This Row],[Ticket_Revenue_INR]:[Cargo_Revenue_INR]])</f>
        <v>382950</v>
      </c>
      <c r="P364" s="4">
        <v>432648</v>
      </c>
      <c r="Q364" s="4">
        <v>1130800</v>
      </c>
      <c r="R364" s="4">
        <f>SUM(Table1_1[[#This Row],[Fuel_Cost_INR]:[Operating_Cost_INR]])</f>
        <v>1563448</v>
      </c>
      <c r="S364" s="4">
        <f>Table1_1[[#This Row],[Total_Revenue]]-Table1_1[[#This Row],[Total_Cost]]</f>
        <v>-1180498</v>
      </c>
      <c r="T364" s="9">
        <f>(Table1_1[[#This Row],[Total_Profit]]/Table1_1[[#This Row],[Total_Revenue]])</f>
        <v>-3.0826426426426425</v>
      </c>
      <c r="U364" s="5">
        <v>60</v>
      </c>
      <c r="V364" s="6" t="s">
        <v>18</v>
      </c>
      <c r="W364" s="8">
        <v>3.2</v>
      </c>
      <c r="X364" t="str" cm="1">
        <f t="array" ref="X364">_xlfn.IFS(Table1_1[[#This Row],[Customer_Rating]]&lt;3,"Poor",Table1_1[[#This Row],[Customer_Rating]]&lt;4,"Good",Table1_1[[#This Row],[Customer_Rating]]&gt;=4,"Excellent")</f>
        <v>Good</v>
      </c>
    </row>
    <row r="365" spans="1:24" x14ac:dyDescent="0.35">
      <c r="A365" s="2" t="s">
        <v>629</v>
      </c>
      <c r="B365" s="3">
        <v>45904</v>
      </c>
      <c r="C365" s="3" t="str">
        <f>TEXT(Table1_1[[#This Row],[Date]],"YYYY")</f>
        <v>2025</v>
      </c>
      <c r="D365" s="3" t="str">
        <f>TEXT(Table1_1[[#This Row],[Date]],"mmm")</f>
        <v>Sep</v>
      </c>
      <c r="E365" s="2" t="s">
        <v>117</v>
      </c>
      <c r="F365" s="2" t="str">
        <f>INDEX(IndiGo_Flight_Data!$R$2:$R$11,MATCH(Table1_1[[#This Row],[Route]],_xlfn.ANCHORARRAY(IndiGo_Flight_Data!$Q$2),0))</f>
        <v>Bengaluru - Calacatta</v>
      </c>
      <c r="G365" s="2" t="s">
        <v>24</v>
      </c>
      <c r="H365">
        <v>122</v>
      </c>
      <c r="I365">
        <v>180</v>
      </c>
      <c r="J365">
        <f>Table1_1[[#This Row],[Seat_Capacity]]-Table1_1[[#This Row],[Passengers]]</f>
        <v>58</v>
      </c>
      <c r="K365">
        <v>67.78</v>
      </c>
      <c r="L365" t="str" cm="1">
        <f t="array" ref="L365">_xlfn.IFS(Table1_1[[#This Row],[Load_Factor_%]]&lt;60,"Low",Table1_1[[#This Row],[Load_Factor_%]]&lt;85,"Intermediate",Table1_1[[#This Row],[Load_Factor_%]]&gt;=85,"High")</f>
        <v>Intermediate</v>
      </c>
      <c r="M365" s="4">
        <v>496321</v>
      </c>
      <c r="N365" s="4">
        <v>53367</v>
      </c>
      <c r="O365" s="4">
        <f>SUM(Table1_1[[#This Row],[Ticket_Revenue_INR]:[Cargo_Revenue_INR]])</f>
        <v>549688</v>
      </c>
      <c r="P365" s="4">
        <v>475818</v>
      </c>
      <c r="Q365" s="4">
        <v>593968</v>
      </c>
      <c r="R365" s="4">
        <f>SUM(Table1_1[[#This Row],[Fuel_Cost_INR]:[Operating_Cost_INR]])</f>
        <v>1069786</v>
      </c>
      <c r="S365" s="4">
        <f>Table1_1[[#This Row],[Total_Revenue]]-Table1_1[[#This Row],[Total_Cost]]</f>
        <v>-520098</v>
      </c>
      <c r="T365" s="9">
        <f>(Table1_1[[#This Row],[Total_Profit]]/Table1_1[[#This Row],[Total_Revenue]])</f>
        <v>-0.94616946340469499</v>
      </c>
      <c r="U365" s="5">
        <v>76</v>
      </c>
      <c r="V365" s="6" t="s">
        <v>18</v>
      </c>
      <c r="W365" s="8">
        <v>4.3</v>
      </c>
      <c r="X365" t="str" cm="1">
        <f t="array" ref="X365">_xlfn.IFS(Table1_1[[#This Row],[Customer_Rating]]&lt;3,"Poor",Table1_1[[#This Row],[Customer_Rating]]&lt;4,"Good",Table1_1[[#This Row],[Customer_Rating]]&gt;=4,"Excellent")</f>
        <v>Excellent</v>
      </c>
    </row>
    <row r="366" spans="1:24" x14ac:dyDescent="0.35">
      <c r="A366" s="2" t="s">
        <v>630</v>
      </c>
      <c r="B366" s="3">
        <v>45690</v>
      </c>
      <c r="C366" s="3" t="str">
        <f>TEXT(Table1_1[[#This Row],[Date]],"YYYY")</f>
        <v>2025</v>
      </c>
      <c r="D366" s="3" t="str">
        <f>TEXT(Table1_1[[#This Row],[Date]],"mmm")</f>
        <v>Feb</v>
      </c>
      <c r="E366" s="2" t="s">
        <v>16</v>
      </c>
      <c r="F366" s="2" t="str">
        <f>INDEX(IndiGo_Flight_Data!$R$2:$R$11,MATCH(Table1_1[[#This Row],[Route]],_xlfn.ANCHORARRAY(IndiGo_Flight_Data!$Q$2),0))</f>
        <v>Delhi - Goa</v>
      </c>
      <c r="G366" s="2" t="s">
        <v>17</v>
      </c>
      <c r="H366">
        <v>71</v>
      </c>
      <c r="I366">
        <v>78</v>
      </c>
      <c r="J366">
        <f>Table1_1[[#This Row],[Seat_Capacity]]-Table1_1[[#This Row],[Passengers]]</f>
        <v>7</v>
      </c>
      <c r="K366">
        <v>91.03</v>
      </c>
      <c r="L366" t="str" cm="1">
        <f t="array" ref="L366">_xlfn.IFS(Table1_1[[#This Row],[Load_Factor_%]]&lt;60,"Low",Table1_1[[#This Row],[Load_Factor_%]]&lt;85,"Intermediate",Table1_1[[#This Row],[Load_Factor_%]]&gt;=85,"High")</f>
        <v>High</v>
      </c>
      <c r="M366" s="4">
        <v>492090</v>
      </c>
      <c r="N366" s="4">
        <v>96793</v>
      </c>
      <c r="O366" s="4">
        <f>SUM(Table1_1[[#This Row],[Ticket_Revenue_INR]:[Cargo_Revenue_INR]])</f>
        <v>588883</v>
      </c>
      <c r="P366" s="4">
        <v>684883</v>
      </c>
      <c r="Q366" s="4">
        <v>935176</v>
      </c>
      <c r="R366" s="4">
        <f>SUM(Table1_1[[#This Row],[Fuel_Cost_INR]:[Operating_Cost_INR]])</f>
        <v>1620059</v>
      </c>
      <c r="S366" s="4">
        <f>Table1_1[[#This Row],[Total_Revenue]]-Table1_1[[#This Row],[Total_Cost]]</f>
        <v>-1031176</v>
      </c>
      <c r="T366" s="9">
        <f>(Table1_1[[#This Row],[Total_Profit]]/Table1_1[[#This Row],[Total_Revenue]])</f>
        <v>-1.7510710956166164</v>
      </c>
      <c r="U366" s="5">
        <v>60</v>
      </c>
      <c r="V366" s="6" t="s">
        <v>18</v>
      </c>
      <c r="W366" s="8">
        <v>4.2</v>
      </c>
      <c r="X366" t="str" cm="1">
        <f t="array" ref="X366">_xlfn.IFS(Table1_1[[#This Row],[Customer_Rating]]&lt;3,"Poor",Table1_1[[#This Row],[Customer_Rating]]&lt;4,"Good",Table1_1[[#This Row],[Customer_Rating]]&gt;=4,"Excellent")</f>
        <v>Excellent</v>
      </c>
    </row>
    <row r="367" spans="1:24" x14ac:dyDescent="0.35">
      <c r="A367" s="2" t="s">
        <v>631</v>
      </c>
      <c r="B367" s="3">
        <v>45991</v>
      </c>
      <c r="C367" s="3" t="str">
        <f>TEXT(Table1_1[[#This Row],[Date]],"YYYY")</f>
        <v>2025</v>
      </c>
      <c r="D367" s="3" t="str">
        <f>TEXT(Table1_1[[#This Row],[Date]],"mmm")</f>
        <v>Nov</v>
      </c>
      <c r="E367" s="2" t="s">
        <v>21</v>
      </c>
      <c r="F367" s="2" t="str">
        <f>INDEX(IndiGo_Flight_Data!$R$2:$R$11,MATCH(Table1_1[[#This Row],[Route]],_xlfn.ANCHORARRAY(IndiGo_Flight_Data!$Q$2),0))</f>
        <v>Bengaluru - Hyderabad</v>
      </c>
      <c r="G367" s="2" t="s">
        <v>17</v>
      </c>
      <c r="H367">
        <v>73</v>
      </c>
      <c r="I367">
        <v>78</v>
      </c>
      <c r="J367">
        <f>Table1_1[[#This Row],[Seat_Capacity]]-Table1_1[[#This Row],[Passengers]]</f>
        <v>5</v>
      </c>
      <c r="K367">
        <v>93.59</v>
      </c>
      <c r="L367" t="str" cm="1">
        <f t="array" ref="L367">_xlfn.IFS(Table1_1[[#This Row],[Load_Factor_%]]&lt;60,"Low",Table1_1[[#This Row],[Load_Factor_%]]&lt;85,"Intermediate",Table1_1[[#This Row],[Load_Factor_%]]&gt;=85,"High")</f>
        <v>High</v>
      </c>
      <c r="M367" s="4">
        <v>359982</v>
      </c>
      <c r="N367" s="4">
        <v>39678</v>
      </c>
      <c r="O367" s="4">
        <f>SUM(Table1_1[[#This Row],[Ticket_Revenue_INR]:[Cargo_Revenue_INR]])</f>
        <v>399660</v>
      </c>
      <c r="P367" s="4">
        <v>793320</v>
      </c>
      <c r="Q367" s="4">
        <v>1032342</v>
      </c>
      <c r="R367" s="4">
        <f>SUM(Table1_1[[#This Row],[Fuel_Cost_INR]:[Operating_Cost_INR]])</f>
        <v>1825662</v>
      </c>
      <c r="S367" s="4">
        <f>Table1_1[[#This Row],[Total_Revenue]]-Table1_1[[#This Row],[Total_Cost]]</f>
        <v>-1426002</v>
      </c>
      <c r="T367" s="9">
        <f>(Table1_1[[#This Row],[Total_Profit]]/Table1_1[[#This Row],[Total_Revenue]])</f>
        <v>-3.5680378321573336</v>
      </c>
      <c r="U367" s="5">
        <v>27</v>
      </c>
      <c r="V367" s="6" t="s">
        <v>18</v>
      </c>
      <c r="W367" s="8">
        <v>3.5</v>
      </c>
      <c r="X367" t="str" cm="1">
        <f t="array" ref="X367">_xlfn.IFS(Table1_1[[#This Row],[Customer_Rating]]&lt;3,"Poor",Table1_1[[#This Row],[Customer_Rating]]&lt;4,"Good",Table1_1[[#This Row],[Customer_Rating]]&gt;=4,"Excellent")</f>
        <v>Good</v>
      </c>
    </row>
    <row r="368" spans="1:24" x14ac:dyDescent="0.35">
      <c r="A368" s="2" t="s">
        <v>633</v>
      </c>
      <c r="B368" s="3">
        <v>45957</v>
      </c>
      <c r="C368" s="3" t="str">
        <f>TEXT(Table1_1[[#This Row],[Date]],"YYYY")</f>
        <v>2025</v>
      </c>
      <c r="D368" s="3" t="str">
        <f>TEXT(Table1_1[[#This Row],[Date]],"mmm")</f>
        <v>Oct</v>
      </c>
      <c r="E368" s="2" t="s">
        <v>36</v>
      </c>
      <c r="F368" s="2" t="str">
        <f>INDEX(IndiGo_Flight_Data!$R$2:$R$11,MATCH(Table1_1[[#This Row],[Route]],_xlfn.ANCHORARRAY(IndiGo_Flight_Data!$Q$2),0))</f>
        <v>Delhi - Bombay</v>
      </c>
      <c r="G368" s="2" t="s">
        <v>43</v>
      </c>
      <c r="H368">
        <v>225</v>
      </c>
      <c r="I368">
        <v>232</v>
      </c>
      <c r="J368">
        <f>Table1_1[[#This Row],[Seat_Capacity]]-Table1_1[[#This Row],[Passengers]]</f>
        <v>7</v>
      </c>
      <c r="K368">
        <v>96.98</v>
      </c>
      <c r="L368" t="str" cm="1">
        <f t="array" ref="L368">_xlfn.IFS(Table1_1[[#This Row],[Load_Factor_%]]&lt;60,"Low",Table1_1[[#This Row],[Load_Factor_%]]&lt;85,"Intermediate",Table1_1[[#This Row],[Load_Factor_%]]&gt;=85,"High")</f>
        <v>High</v>
      </c>
      <c r="M368" s="4">
        <v>847403</v>
      </c>
      <c r="N368" s="4">
        <v>20835</v>
      </c>
      <c r="O368" s="4">
        <f>SUM(Table1_1[[#This Row],[Ticket_Revenue_INR]:[Cargo_Revenue_INR]])</f>
        <v>868238</v>
      </c>
      <c r="P368" s="4">
        <v>839744</v>
      </c>
      <c r="Q368" s="4">
        <v>1255103</v>
      </c>
      <c r="R368" s="4">
        <f>SUM(Table1_1[[#This Row],[Fuel_Cost_INR]:[Operating_Cost_INR]])</f>
        <v>2094847</v>
      </c>
      <c r="S368" s="4">
        <f>Table1_1[[#This Row],[Total_Revenue]]-Table1_1[[#This Row],[Total_Cost]]</f>
        <v>-1226609</v>
      </c>
      <c r="T368" s="9">
        <f>(Table1_1[[#This Row],[Total_Profit]]/Table1_1[[#This Row],[Total_Revenue]])</f>
        <v>-1.4127566404603347</v>
      </c>
      <c r="U368" s="5">
        <v>33</v>
      </c>
      <c r="V368" s="6" t="s">
        <v>18</v>
      </c>
      <c r="W368" s="8">
        <v>4.2</v>
      </c>
      <c r="X368" t="str" cm="1">
        <f t="array" ref="X368">_xlfn.IFS(Table1_1[[#This Row],[Customer_Rating]]&lt;3,"Poor",Table1_1[[#This Row],[Customer_Rating]]&lt;4,"Good",Table1_1[[#This Row],[Customer_Rating]]&gt;=4,"Excellent")</f>
        <v>Excellent</v>
      </c>
    </row>
    <row r="369" spans="1:24" x14ac:dyDescent="0.35">
      <c r="A369" s="2" t="s">
        <v>634</v>
      </c>
      <c r="B369" s="3">
        <v>45705</v>
      </c>
      <c r="C369" s="3" t="str">
        <f>TEXT(Table1_1[[#This Row],[Date]],"YYYY")</f>
        <v>2025</v>
      </c>
      <c r="D369" s="3" t="str">
        <f>TEXT(Table1_1[[#This Row],[Date]],"mmm")</f>
        <v>Feb</v>
      </c>
      <c r="E369" s="2" t="s">
        <v>42</v>
      </c>
      <c r="F369" s="2" t="str">
        <f>INDEX(IndiGo_Flight_Data!$R$2:$R$11,MATCH(Table1_1[[#This Row],[Route]],_xlfn.ANCHORARRAY(IndiGo_Flight_Data!$Q$2),0))</f>
        <v>Bombay - Hyderabad</v>
      </c>
      <c r="G369" s="2" t="s">
        <v>43</v>
      </c>
      <c r="H369">
        <v>205</v>
      </c>
      <c r="I369">
        <v>232</v>
      </c>
      <c r="J369">
        <f>Table1_1[[#This Row],[Seat_Capacity]]-Table1_1[[#This Row],[Passengers]]</f>
        <v>27</v>
      </c>
      <c r="K369">
        <v>88.36</v>
      </c>
      <c r="L369" t="str" cm="1">
        <f t="array" ref="L369">_xlfn.IFS(Table1_1[[#This Row],[Load_Factor_%]]&lt;60,"Low",Table1_1[[#This Row],[Load_Factor_%]]&lt;85,"Intermediate",Table1_1[[#This Row],[Load_Factor_%]]&gt;=85,"High")</f>
        <v>High</v>
      </c>
      <c r="M369" s="4">
        <v>1537061</v>
      </c>
      <c r="N369" s="4">
        <v>42107</v>
      </c>
      <c r="O369" s="4">
        <f>SUM(Table1_1[[#This Row],[Ticket_Revenue_INR]:[Cargo_Revenue_INR]])</f>
        <v>1579168</v>
      </c>
      <c r="P369" s="4">
        <v>1160057</v>
      </c>
      <c r="Q369" s="4">
        <v>1500226</v>
      </c>
      <c r="R369" s="4">
        <f>SUM(Table1_1[[#This Row],[Fuel_Cost_INR]:[Operating_Cost_INR]])</f>
        <v>2660283</v>
      </c>
      <c r="S369" s="4">
        <f>Table1_1[[#This Row],[Total_Revenue]]-Table1_1[[#This Row],[Total_Cost]]</f>
        <v>-1081115</v>
      </c>
      <c r="T369" s="9">
        <f>(Table1_1[[#This Row],[Total_Profit]]/Table1_1[[#This Row],[Total_Revenue]])</f>
        <v>-0.68461050375894139</v>
      </c>
      <c r="U369" s="5">
        <v>81</v>
      </c>
      <c r="V369" s="6" t="s">
        <v>18</v>
      </c>
      <c r="W369" s="8">
        <v>4.2</v>
      </c>
      <c r="X369" t="str" cm="1">
        <f t="array" ref="X369">_xlfn.IFS(Table1_1[[#This Row],[Customer_Rating]]&lt;3,"Poor",Table1_1[[#This Row],[Customer_Rating]]&lt;4,"Good",Table1_1[[#This Row],[Customer_Rating]]&gt;=4,"Excellent")</f>
        <v>Excellent</v>
      </c>
    </row>
    <row r="370" spans="1:24" x14ac:dyDescent="0.35">
      <c r="A370" s="2" t="s">
        <v>635</v>
      </c>
      <c r="B370" s="3">
        <v>45871</v>
      </c>
      <c r="C370" s="3" t="str">
        <f>TEXT(Table1_1[[#This Row],[Date]],"YYYY")</f>
        <v>2025</v>
      </c>
      <c r="D370" s="3" t="str">
        <f>TEXT(Table1_1[[#This Row],[Date]],"mmm")</f>
        <v>Aug</v>
      </c>
      <c r="E370" s="2" t="s">
        <v>39</v>
      </c>
      <c r="F370" s="2" t="str">
        <f>INDEX(IndiGo_Flight_Data!$R$2:$R$11,MATCH(Table1_1[[#This Row],[Route]],_xlfn.ANCHORARRAY(IndiGo_Flight_Data!$Q$2),0))</f>
        <v>Bengaluru - Delhi</v>
      </c>
      <c r="G370" s="2" t="s">
        <v>43</v>
      </c>
      <c r="H370">
        <v>199</v>
      </c>
      <c r="I370">
        <v>232</v>
      </c>
      <c r="J370">
        <f>Table1_1[[#This Row],[Seat_Capacity]]-Table1_1[[#This Row],[Passengers]]</f>
        <v>33</v>
      </c>
      <c r="K370">
        <v>85.78</v>
      </c>
      <c r="L370" t="str" cm="1">
        <f t="array" ref="L370">_xlfn.IFS(Table1_1[[#This Row],[Load_Factor_%]]&lt;60,"Low",Table1_1[[#This Row],[Load_Factor_%]]&lt;85,"Intermediate",Table1_1[[#This Row],[Load_Factor_%]]&gt;=85,"High")</f>
        <v>High</v>
      </c>
      <c r="M370" s="4">
        <v>724856</v>
      </c>
      <c r="N370" s="4">
        <v>95136</v>
      </c>
      <c r="O370" s="4">
        <f>SUM(Table1_1[[#This Row],[Ticket_Revenue_INR]:[Cargo_Revenue_INR]])</f>
        <v>819992</v>
      </c>
      <c r="P370" s="4">
        <v>595898</v>
      </c>
      <c r="Q370" s="4">
        <v>792421</v>
      </c>
      <c r="R370" s="4">
        <f>SUM(Table1_1[[#This Row],[Fuel_Cost_INR]:[Operating_Cost_INR]])</f>
        <v>1388319</v>
      </c>
      <c r="S370" s="4">
        <f>Table1_1[[#This Row],[Total_Revenue]]-Table1_1[[#This Row],[Total_Cost]]</f>
        <v>-568327</v>
      </c>
      <c r="T370" s="9">
        <f>(Table1_1[[#This Row],[Total_Profit]]/Table1_1[[#This Row],[Total_Revenue]])</f>
        <v>-0.69308846915579669</v>
      </c>
      <c r="U370" s="5">
        <v>40</v>
      </c>
      <c r="V370" s="6" t="s">
        <v>18</v>
      </c>
      <c r="W370" s="8">
        <v>3.3</v>
      </c>
      <c r="X370" t="str" cm="1">
        <f t="array" ref="X370">_xlfn.IFS(Table1_1[[#This Row],[Customer_Rating]]&lt;3,"Poor",Table1_1[[#This Row],[Customer_Rating]]&lt;4,"Good",Table1_1[[#This Row],[Customer_Rating]]&gt;=4,"Excellent")</f>
        <v>Good</v>
      </c>
    </row>
    <row r="371" spans="1:24" x14ac:dyDescent="0.35">
      <c r="A371" s="2" t="s">
        <v>636</v>
      </c>
      <c r="B371" s="3">
        <v>45716</v>
      </c>
      <c r="C371" s="3" t="str">
        <f>TEXT(Table1_1[[#This Row],[Date]],"YYYY")</f>
        <v>2025</v>
      </c>
      <c r="D371" s="3" t="str">
        <f>TEXT(Table1_1[[#This Row],[Date]],"mmm")</f>
        <v>Feb</v>
      </c>
      <c r="E371" s="2" t="s">
        <v>59</v>
      </c>
      <c r="F371" s="2" t="str">
        <f>INDEX(IndiGo_Flight_Data!$R$2:$R$11,MATCH(Table1_1[[#This Row],[Route]],_xlfn.ANCHORARRAY(IndiGo_Flight_Data!$Q$2),0))</f>
        <v>Bengaluru - Bombay</v>
      </c>
      <c r="G371" s="2" t="s">
        <v>43</v>
      </c>
      <c r="H371">
        <v>172</v>
      </c>
      <c r="I371">
        <v>232</v>
      </c>
      <c r="J371">
        <f>Table1_1[[#This Row],[Seat_Capacity]]-Table1_1[[#This Row],[Passengers]]</f>
        <v>60</v>
      </c>
      <c r="K371">
        <v>74.14</v>
      </c>
      <c r="L371" t="str" cm="1">
        <f t="array" ref="L371">_xlfn.IFS(Table1_1[[#This Row],[Load_Factor_%]]&lt;60,"Low",Table1_1[[#This Row],[Load_Factor_%]]&lt;85,"Intermediate",Table1_1[[#This Row],[Load_Factor_%]]&gt;=85,"High")</f>
        <v>Intermediate</v>
      </c>
      <c r="M371" s="4">
        <v>1112987</v>
      </c>
      <c r="N371" s="4">
        <v>33031</v>
      </c>
      <c r="O371" s="4">
        <f>SUM(Table1_1[[#This Row],[Ticket_Revenue_INR]:[Cargo_Revenue_INR]])</f>
        <v>1146018</v>
      </c>
      <c r="P371" s="4">
        <v>887283</v>
      </c>
      <c r="Q371" s="4">
        <v>1310908</v>
      </c>
      <c r="R371" s="4">
        <f>SUM(Table1_1[[#This Row],[Fuel_Cost_INR]:[Operating_Cost_INR]])</f>
        <v>2198191</v>
      </c>
      <c r="S371" s="4">
        <f>Table1_1[[#This Row],[Total_Revenue]]-Table1_1[[#This Row],[Total_Cost]]</f>
        <v>-1052173</v>
      </c>
      <c r="T371" s="9">
        <f>(Table1_1[[#This Row],[Total_Profit]]/Table1_1[[#This Row],[Total_Revenue]])</f>
        <v>-0.91811210644160912</v>
      </c>
      <c r="U371" s="5">
        <v>1</v>
      </c>
      <c r="V371" s="6" t="s">
        <v>33</v>
      </c>
      <c r="W371" s="8">
        <v>3.7</v>
      </c>
      <c r="X371" t="str" cm="1">
        <f t="array" ref="X371">_xlfn.IFS(Table1_1[[#This Row],[Customer_Rating]]&lt;3,"Poor",Table1_1[[#This Row],[Customer_Rating]]&lt;4,"Good",Table1_1[[#This Row],[Customer_Rating]]&gt;=4,"Excellent")</f>
        <v>Good</v>
      </c>
    </row>
    <row r="372" spans="1:24" x14ac:dyDescent="0.35">
      <c r="A372" s="2" t="s">
        <v>638</v>
      </c>
      <c r="B372" s="3">
        <v>45954</v>
      </c>
      <c r="C372" s="3" t="str">
        <f>TEXT(Table1_1[[#This Row],[Date]],"YYYY")</f>
        <v>2025</v>
      </c>
      <c r="D372" s="3" t="str">
        <f>TEXT(Table1_1[[#This Row],[Date]],"mmm")</f>
        <v>Oct</v>
      </c>
      <c r="E372" s="2" t="s">
        <v>76</v>
      </c>
      <c r="F372" s="2" t="str">
        <f>INDEX(IndiGo_Flight_Data!$R$2:$R$11,MATCH(Table1_1[[#This Row],[Route]],_xlfn.ANCHORARRAY(IndiGo_Flight_Data!$Q$2),0))</f>
        <v>Madras - Delhi</v>
      </c>
      <c r="G372" s="2" t="s">
        <v>43</v>
      </c>
      <c r="H372">
        <v>209</v>
      </c>
      <c r="I372">
        <v>232</v>
      </c>
      <c r="J372">
        <f>Table1_1[[#This Row],[Seat_Capacity]]-Table1_1[[#This Row],[Passengers]]</f>
        <v>23</v>
      </c>
      <c r="K372">
        <v>90.09</v>
      </c>
      <c r="L372" t="str" cm="1">
        <f t="array" ref="L372">_xlfn.IFS(Table1_1[[#This Row],[Load_Factor_%]]&lt;60,"Low",Table1_1[[#This Row],[Load_Factor_%]]&lt;85,"Intermediate",Table1_1[[#This Row],[Load_Factor_%]]&gt;=85,"High")</f>
        <v>High</v>
      </c>
      <c r="M372" s="4">
        <v>744075</v>
      </c>
      <c r="N372" s="4">
        <v>121137</v>
      </c>
      <c r="O372" s="4">
        <f>SUM(Table1_1[[#This Row],[Ticket_Revenue_INR]:[Cargo_Revenue_INR]])</f>
        <v>865212</v>
      </c>
      <c r="P372" s="4">
        <v>560872</v>
      </c>
      <c r="Q372" s="4">
        <v>1139440</v>
      </c>
      <c r="R372" s="4">
        <f>SUM(Table1_1[[#This Row],[Fuel_Cost_INR]:[Operating_Cost_INR]])</f>
        <v>1700312</v>
      </c>
      <c r="S372" s="4">
        <f>Table1_1[[#This Row],[Total_Revenue]]-Table1_1[[#This Row],[Total_Cost]]</f>
        <v>-835100</v>
      </c>
      <c r="T372" s="9">
        <f>(Table1_1[[#This Row],[Total_Profit]]/Table1_1[[#This Row],[Total_Revenue]])</f>
        <v>-0.96519696906654096</v>
      </c>
      <c r="U372" s="5">
        <v>34</v>
      </c>
      <c r="V372" s="6" t="s">
        <v>18</v>
      </c>
      <c r="W372" s="8">
        <v>4.0999999999999996</v>
      </c>
      <c r="X372" t="str" cm="1">
        <f t="array" ref="X372">_xlfn.IFS(Table1_1[[#This Row],[Customer_Rating]]&lt;3,"Poor",Table1_1[[#This Row],[Customer_Rating]]&lt;4,"Good",Table1_1[[#This Row],[Customer_Rating]]&gt;=4,"Excellent")</f>
        <v>Excellent</v>
      </c>
    </row>
    <row r="373" spans="1:24" x14ac:dyDescent="0.35">
      <c r="A373" s="2" t="s">
        <v>639</v>
      </c>
      <c r="B373" s="3">
        <v>46007</v>
      </c>
      <c r="C373" s="3" t="str">
        <f>TEXT(Table1_1[[#This Row],[Date]],"YYYY")</f>
        <v>2025</v>
      </c>
      <c r="D373" s="3" t="str">
        <f>TEXT(Table1_1[[#This Row],[Date]],"mmm")</f>
        <v>Dec</v>
      </c>
      <c r="E373" s="2" t="s">
        <v>29</v>
      </c>
      <c r="F373" s="2" t="str">
        <f>INDEX(IndiGo_Flight_Data!$R$2:$R$11,MATCH(Table1_1[[#This Row],[Route]],_xlfn.ANCHORARRAY(IndiGo_Flight_Data!$Q$2),0))</f>
        <v>Calacatta - Delhi</v>
      </c>
      <c r="G373" s="2" t="s">
        <v>17</v>
      </c>
      <c r="H373">
        <v>52</v>
      </c>
      <c r="I373">
        <v>78</v>
      </c>
      <c r="J373">
        <f>Table1_1[[#This Row],[Seat_Capacity]]-Table1_1[[#This Row],[Passengers]]</f>
        <v>26</v>
      </c>
      <c r="K373">
        <v>66.67</v>
      </c>
      <c r="L373" t="str" cm="1">
        <f t="array" ref="L373">_xlfn.IFS(Table1_1[[#This Row],[Load_Factor_%]]&lt;60,"Low",Table1_1[[#This Row],[Load_Factor_%]]&lt;85,"Intermediate",Table1_1[[#This Row],[Load_Factor_%]]&gt;=85,"High")</f>
        <v>Intermediate</v>
      </c>
      <c r="M373" s="4">
        <v>396455</v>
      </c>
      <c r="N373" s="4">
        <v>61000</v>
      </c>
      <c r="O373" s="4">
        <f>SUM(Table1_1[[#This Row],[Ticket_Revenue_INR]:[Cargo_Revenue_INR]])</f>
        <v>457455</v>
      </c>
      <c r="P373" s="4">
        <v>824327</v>
      </c>
      <c r="Q373" s="4">
        <v>1472226</v>
      </c>
      <c r="R373" s="4">
        <f>SUM(Table1_1[[#This Row],[Fuel_Cost_INR]:[Operating_Cost_INR]])</f>
        <v>2296553</v>
      </c>
      <c r="S373" s="4">
        <f>Table1_1[[#This Row],[Total_Revenue]]-Table1_1[[#This Row],[Total_Cost]]</f>
        <v>-1839098</v>
      </c>
      <c r="T373" s="9">
        <f>(Table1_1[[#This Row],[Total_Profit]]/Table1_1[[#This Row],[Total_Revenue]])</f>
        <v>-4.0202817763495862</v>
      </c>
      <c r="U373" s="5">
        <v>69</v>
      </c>
      <c r="V373" s="6" t="s">
        <v>18</v>
      </c>
      <c r="W373" s="8">
        <v>4.5999999999999996</v>
      </c>
      <c r="X373" t="str" cm="1">
        <f t="array" ref="X373">_xlfn.IFS(Table1_1[[#This Row],[Customer_Rating]]&lt;3,"Poor",Table1_1[[#This Row],[Customer_Rating]]&lt;4,"Good",Table1_1[[#This Row],[Customer_Rating]]&gt;=4,"Excellent")</f>
        <v>Excellent</v>
      </c>
    </row>
    <row r="374" spans="1:24" x14ac:dyDescent="0.35">
      <c r="A374" s="2" t="s">
        <v>640</v>
      </c>
      <c r="B374" s="3">
        <v>45761</v>
      </c>
      <c r="C374" s="3" t="str">
        <f>TEXT(Table1_1[[#This Row],[Date]],"YYYY")</f>
        <v>2025</v>
      </c>
      <c r="D374" s="3" t="str">
        <f>TEXT(Table1_1[[#This Row],[Date]],"mmm")</f>
        <v>Apr</v>
      </c>
      <c r="E374" s="2" t="s">
        <v>36</v>
      </c>
      <c r="F374" s="2" t="str">
        <f>INDEX(IndiGo_Flight_Data!$R$2:$R$11,MATCH(Table1_1[[#This Row],[Route]],_xlfn.ANCHORARRAY(IndiGo_Flight_Data!$Q$2),0))</f>
        <v>Delhi - Bombay</v>
      </c>
      <c r="G374" s="2" t="s">
        <v>24</v>
      </c>
      <c r="H374">
        <v>123</v>
      </c>
      <c r="I374">
        <v>180</v>
      </c>
      <c r="J374">
        <f>Table1_1[[#This Row],[Seat_Capacity]]-Table1_1[[#This Row],[Passengers]]</f>
        <v>57</v>
      </c>
      <c r="K374">
        <v>68.33</v>
      </c>
      <c r="L374" t="str" cm="1">
        <f t="array" ref="L374">_xlfn.IFS(Table1_1[[#This Row],[Load_Factor_%]]&lt;60,"Low",Table1_1[[#This Row],[Load_Factor_%]]&lt;85,"Intermediate",Table1_1[[#This Row],[Load_Factor_%]]&gt;=85,"High")</f>
        <v>Intermediate</v>
      </c>
      <c r="M374" s="4">
        <v>979607</v>
      </c>
      <c r="N374" s="4">
        <v>48732</v>
      </c>
      <c r="O374" s="4">
        <f>SUM(Table1_1[[#This Row],[Ticket_Revenue_INR]:[Cargo_Revenue_INR]])</f>
        <v>1028339</v>
      </c>
      <c r="P374" s="4">
        <v>1147182</v>
      </c>
      <c r="Q374" s="4">
        <v>1488466</v>
      </c>
      <c r="R374" s="4">
        <f>SUM(Table1_1[[#This Row],[Fuel_Cost_INR]:[Operating_Cost_INR]])</f>
        <v>2635648</v>
      </c>
      <c r="S374" s="4">
        <f>Table1_1[[#This Row],[Total_Revenue]]-Table1_1[[#This Row],[Total_Cost]]</f>
        <v>-1607309</v>
      </c>
      <c r="T374" s="9">
        <f>(Table1_1[[#This Row],[Total_Profit]]/Table1_1[[#This Row],[Total_Revenue]])</f>
        <v>-1.5630147256887077</v>
      </c>
      <c r="U374" s="5">
        <v>25</v>
      </c>
      <c r="V374" s="6" t="s">
        <v>18</v>
      </c>
      <c r="W374" s="8">
        <v>4.4000000000000004</v>
      </c>
      <c r="X374" t="str" cm="1">
        <f t="array" ref="X374">_xlfn.IFS(Table1_1[[#This Row],[Customer_Rating]]&lt;3,"Poor",Table1_1[[#This Row],[Customer_Rating]]&lt;4,"Good",Table1_1[[#This Row],[Customer_Rating]]&gt;=4,"Excellent")</f>
        <v>Excellent</v>
      </c>
    </row>
    <row r="375" spans="1:24" x14ac:dyDescent="0.35">
      <c r="A375" s="2" t="s">
        <v>642</v>
      </c>
      <c r="B375" s="3">
        <v>45815</v>
      </c>
      <c r="C375" s="3" t="str">
        <f>TEXT(Table1_1[[#This Row],[Date]],"YYYY")</f>
        <v>2025</v>
      </c>
      <c r="D375" s="3" t="str">
        <f>TEXT(Table1_1[[#This Row],[Date]],"mmm")</f>
        <v>Jun</v>
      </c>
      <c r="E375" s="2" t="s">
        <v>59</v>
      </c>
      <c r="F375" s="2" t="str">
        <f>INDEX(IndiGo_Flight_Data!$R$2:$R$11,MATCH(Table1_1[[#This Row],[Route]],_xlfn.ANCHORARRAY(IndiGo_Flight_Data!$Q$2),0))</f>
        <v>Bengaluru - Bombay</v>
      </c>
      <c r="G375" s="2" t="s">
        <v>24</v>
      </c>
      <c r="H375">
        <v>156</v>
      </c>
      <c r="I375">
        <v>180</v>
      </c>
      <c r="J375">
        <f>Table1_1[[#This Row],[Seat_Capacity]]-Table1_1[[#This Row],[Passengers]]</f>
        <v>24</v>
      </c>
      <c r="K375">
        <v>86.67</v>
      </c>
      <c r="L375" t="str" cm="1">
        <f t="array" ref="L375">_xlfn.IFS(Table1_1[[#This Row],[Load_Factor_%]]&lt;60,"Low",Table1_1[[#This Row],[Load_Factor_%]]&lt;85,"Intermediate",Table1_1[[#This Row],[Load_Factor_%]]&gt;=85,"High")</f>
        <v>High</v>
      </c>
      <c r="M375" s="4">
        <v>1297429</v>
      </c>
      <c r="N375" s="4">
        <v>49092</v>
      </c>
      <c r="O375" s="4">
        <f>SUM(Table1_1[[#This Row],[Ticket_Revenue_INR]:[Cargo_Revenue_INR]])</f>
        <v>1346521</v>
      </c>
      <c r="P375" s="4">
        <v>778655</v>
      </c>
      <c r="Q375" s="4">
        <v>946659</v>
      </c>
      <c r="R375" s="4">
        <f>SUM(Table1_1[[#This Row],[Fuel_Cost_INR]:[Operating_Cost_INR]])</f>
        <v>1725314</v>
      </c>
      <c r="S375" s="4">
        <f>Table1_1[[#This Row],[Total_Revenue]]-Table1_1[[#This Row],[Total_Cost]]</f>
        <v>-378793</v>
      </c>
      <c r="T375" s="9">
        <f>(Table1_1[[#This Row],[Total_Profit]]/Table1_1[[#This Row],[Total_Revenue]])</f>
        <v>-0.28131235977753039</v>
      </c>
      <c r="U375" s="5">
        <v>81</v>
      </c>
      <c r="V375" s="6" t="s">
        <v>18</v>
      </c>
      <c r="W375" s="8">
        <v>4.2</v>
      </c>
      <c r="X375" t="str" cm="1">
        <f t="array" ref="X375">_xlfn.IFS(Table1_1[[#This Row],[Customer_Rating]]&lt;3,"Poor",Table1_1[[#This Row],[Customer_Rating]]&lt;4,"Good",Table1_1[[#This Row],[Customer_Rating]]&gt;=4,"Excellent")</f>
        <v>Excellent</v>
      </c>
    </row>
    <row r="376" spans="1:24" x14ac:dyDescent="0.35">
      <c r="A376" s="2" t="s">
        <v>643</v>
      </c>
      <c r="B376" s="3">
        <v>45891</v>
      </c>
      <c r="C376" s="3" t="str">
        <f>TEXT(Table1_1[[#This Row],[Date]],"YYYY")</f>
        <v>2025</v>
      </c>
      <c r="D376" s="3" t="str">
        <f>TEXT(Table1_1[[#This Row],[Date]],"mmm")</f>
        <v>Aug</v>
      </c>
      <c r="E376" s="2" t="s">
        <v>29</v>
      </c>
      <c r="F376" s="2" t="str">
        <f>INDEX(IndiGo_Flight_Data!$R$2:$R$11,MATCH(Table1_1[[#This Row],[Route]],_xlfn.ANCHORARRAY(IndiGo_Flight_Data!$Q$2),0))</f>
        <v>Calacatta - Delhi</v>
      </c>
      <c r="G376" s="2" t="s">
        <v>24</v>
      </c>
      <c r="H376">
        <v>143</v>
      </c>
      <c r="I376">
        <v>180</v>
      </c>
      <c r="J376">
        <f>Table1_1[[#This Row],[Seat_Capacity]]-Table1_1[[#This Row],[Passengers]]</f>
        <v>37</v>
      </c>
      <c r="K376">
        <v>79.44</v>
      </c>
      <c r="L376" t="str" cm="1">
        <f t="array" ref="L376">_xlfn.IFS(Table1_1[[#This Row],[Load_Factor_%]]&lt;60,"Low",Table1_1[[#This Row],[Load_Factor_%]]&lt;85,"Intermediate",Table1_1[[#This Row],[Load_Factor_%]]&gt;=85,"High")</f>
        <v>Intermediate</v>
      </c>
      <c r="M376" s="4">
        <v>907869</v>
      </c>
      <c r="N376" s="4">
        <v>88745</v>
      </c>
      <c r="O376" s="4">
        <f>SUM(Table1_1[[#This Row],[Ticket_Revenue_INR]:[Cargo_Revenue_INR]])</f>
        <v>996614</v>
      </c>
      <c r="P376" s="4">
        <v>1159806</v>
      </c>
      <c r="Q376" s="4">
        <v>1838304</v>
      </c>
      <c r="R376" s="4">
        <f>SUM(Table1_1[[#This Row],[Fuel_Cost_INR]:[Operating_Cost_INR]])</f>
        <v>2998110</v>
      </c>
      <c r="S376" s="4">
        <f>Table1_1[[#This Row],[Total_Revenue]]-Table1_1[[#This Row],[Total_Cost]]</f>
        <v>-2001496</v>
      </c>
      <c r="T376" s="9">
        <f>(Table1_1[[#This Row],[Total_Profit]]/Table1_1[[#This Row],[Total_Revenue]])</f>
        <v>-2.008296090562645</v>
      </c>
      <c r="U376" s="5">
        <v>60</v>
      </c>
      <c r="V376" s="6" t="s">
        <v>18</v>
      </c>
      <c r="W376" s="8">
        <v>4.7</v>
      </c>
      <c r="X376" t="str" cm="1">
        <f t="array" ref="X376">_xlfn.IFS(Table1_1[[#This Row],[Customer_Rating]]&lt;3,"Poor",Table1_1[[#This Row],[Customer_Rating]]&lt;4,"Good",Table1_1[[#This Row],[Customer_Rating]]&gt;=4,"Excellent")</f>
        <v>Excellent</v>
      </c>
    </row>
    <row r="377" spans="1:24" x14ac:dyDescent="0.35">
      <c r="A377" s="2" t="s">
        <v>645</v>
      </c>
      <c r="B377" s="3">
        <v>45940</v>
      </c>
      <c r="C377" s="3" t="str">
        <f>TEXT(Table1_1[[#This Row],[Date]],"YYYY")</f>
        <v>2025</v>
      </c>
      <c r="D377" s="3" t="str">
        <f>TEXT(Table1_1[[#This Row],[Date]],"mmm")</f>
        <v>Oct</v>
      </c>
      <c r="E377" s="2" t="s">
        <v>21</v>
      </c>
      <c r="F377" s="2" t="str">
        <f>INDEX(IndiGo_Flight_Data!$R$2:$R$11,MATCH(Table1_1[[#This Row],[Route]],_xlfn.ANCHORARRAY(IndiGo_Flight_Data!$Q$2),0))</f>
        <v>Bengaluru - Hyderabad</v>
      </c>
      <c r="G377" s="2" t="s">
        <v>17</v>
      </c>
      <c r="H377">
        <v>70</v>
      </c>
      <c r="I377">
        <v>78</v>
      </c>
      <c r="J377">
        <f>Table1_1[[#This Row],[Seat_Capacity]]-Table1_1[[#This Row],[Passengers]]</f>
        <v>8</v>
      </c>
      <c r="K377">
        <v>89.74</v>
      </c>
      <c r="L377" t="str" cm="1">
        <f t="array" ref="L377">_xlfn.IFS(Table1_1[[#This Row],[Load_Factor_%]]&lt;60,"Low",Table1_1[[#This Row],[Load_Factor_%]]&lt;85,"Intermediate",Table1_1[[#This Row],[Load_Factor_%]]&gt;=85,"High")</f>
        <v>High</v>
      </c>
      <c r="M377" s="4">
        <v>281677</v>
      </c>
      <c r="N377" s="4">
        <v>137116</v>
      </c>
      <c r="O377" s="4">
        <f>SUM(Table1_1[[#This Row],[Ticket_Revenue_INR]:[Cargo_Revenue_INR]])</f>
        <v>418793</v>
      </c>
      <c r="P377" s="4">
        <v>266606</v>
      </c>
      <c r="Q377" s="4">
        <v>797226</v>
      </c>
      <c r="R377" s="4">
        <f>SUM(Table1_1[[#This Row],[Fuel_Cost_INR]:[Operating_Cost_INR]])</f>
        <v>1063832</v>
      </c>
      <c r="S377" s="4">
        <f>Table1_1[[#This Row],[Total_Revenue]]-Table1_1[[#This Row],[Total_Cost]]</f>
        <v>-645039</v>
      </c>
      <c r="T377" s="9">
        <f>(Table1_1[[#This Row],[Total_Profit]]/Table1_1[[#This Row],[Total_Revenue]])</f>
        <v>-1.5402334805023006</v>
      </c>
      <c r="U377" s="5">
        <v>68</v>
      </c>
      <c r="V377" s="6" t="s">
        <v>18</v>
      </c>
      <c r="W377" s="8">
        <v>3.8</v>
      </c>
      <c r="X377" t="str" cm="1">
        <f t="array" ref="X377">_xlfn.IFS(Table1_1[[#This Row],[Customer_Rating]]&lt;3,"Poor",Table1_1[[#This Row],[Customer_Rating]]&lt;4,"Good",Table1_1[[#This Row],[Customer_Rating]]&gt;=4,"Excellent")</f>
        <v>Good</v>
      </c>
    </row>
    <row r="378" spans="1:24" x14ac:dyDescent="0.35">
      <c r="A378" s="2" t="s">
        <v>647</v>
      </c>
      <c r="B378" s="3">
        <v>45718</v>
      </c>
      <c r="C378" s="3" t="str">
        <f>TEXT(Table1_1[[#This Row],[Date]],"YYYY")</f>
        <v>2025</v>
      </c>
      <c r="D378" s="3" t="str">
        <f>TEXT(Table1_1[[#This Row],[Date]],"mmm")</f>
        <v>Mar</v>
      </c>
      <c r="E378" s="2" t="s">
        <v>117</v>
      </c>
      <c r="F378" s="2" t="str">
        <f>INDEX(IndiGo_Flight_Data!$R$2:$R$11,MATCH(Table1_1[[#This Row],[Route]],_xlfn.ANCHORARRAY(IndiGo_Flight_Data!$Q$2),0))</f>
        <v>Bengaluru - Calacatta</v>
      </c>
      <c r="G378" s="2" t="s">
        <v>43</v>
      </c>
      <c r="H378">
        <v>155</v>
      </c>
      <c r="I378">
        <v>232</v>
      </c>
      <c r="J378">
        <f>Table1_1[[#This Row],[Seat_Capacity]]-Table1_1[[#This Row],[Passengers]]</f>
        <v>77</v>
      </c>
      <c r="K378">
        <v>66.81</v>
      </c>
      <c r="L378" t="str" cm="1">
        <f t="array" ref="L378">_xlfn.IFS(Table1_1[[#This Row],[Load_Factor_%]]&lt;60,"Low",Table1_1[[#This Row],[Load_Factor_%]]&lt;85,"Intermediate",Table1_1[[#This Row],[Load_Factor_%]]&gt;=85,"High")</f>
        <v>Intermediate</v>
      </c>
      <c r="M378" s="4">
        <v>641867</v>
      </c>
      <c r="N378" s="4">
        <v>129139</v>
      </c>
      <c r="O378" s="4">
        <f>SUM(Table1_1[[#This Row],[Ticket_Revenue_INR]:[Cargo_Revenue_INR]])</f>
        <v>771006</v>
      </c>
      <c r="P378" s="4">
        <v>516962</v>
      </c>
      <c r="Q378" s="4">
        <v>826664</v>
      </c>
      <c r="R378" s="4">
        <f>SUM(Table1_1[[#This Row],[Fuel_Cost_INR]:[Operating_Cost_INR]])</f>
        <v>1343626</v>
      </c>
      <c r="S378" s="4">
        <f>Table1_1[[#This Row],[Total_Revenue]]-Table1_1[[#This Row],[Total_Cost]]</f>
        <v>-572620</v>
      </c>
      <c r="T378" s="9">
        <f>(Table1_1[[#This Row],[Total_Profit]]/Table1_1[[#This Row],[Total_Revenue]])</f>
        <v>-0.74269201536693619</v>
      </c>
      <c r="U378" s="5">
        <v>6</v>
      </c>
      <c r="V378" s="6" t="s">
        <v>33</v>
      </c>
      <c r="W378" s="8">
        <v>4.0999999999999996</v>
      </c>
      <c r="X378" t="str" cm="1">
        <f t="array" ref="X378">_xlfn.IFS(Table1_1[[#This Row],[Customer_Rating]]&lt;3,"Poor",Table1_1[[#This Row],[Customer_Rating]]&lt;4,"Good",Table1_1[[#This Row],[Customer_Rating]]&gt;=4,"Excellent")</f>
        <v>Excellent</v>
      </c>
    </row>
    <row r="379" spans="1:24" x14ac:dyDescent="0.35">
      <c r="A379" s="2" t="s">
        <v>649</v>
      </c>
      <c r="B379" s="3">
        <v>46022</v>
      </c>
      <c r="C379" s="3" t="str">
        <f>TEXT(Table1_1[[#This Row],[Date]],"YYYY")</f>
        <v>2025</v>
      </c>
      <c r="D379" s="3" t="str">
        <f>TEXT(Table1_1[[#This Row],[Date]],"mmm")</f>
        <v>Dec</v>
      </c>
      <c r="E379" s="2" t="s">
        <v>42</v>
      </c>
      <c r="F379" s="2" t="str">
        <f>INDEX(IndiGo_Flight_Data!$R$2:$R$11,MATCH(Table1_1[[#This Row],[Route]],_xlfn.ANCHORARRAY(IndiGo_Flight_Data!$Q$2),0))</f>
        <v>Bombay - Hyderabad</v>
      </c>
      <c r="G379" s="2" t="s">
        <v>43</v>
      </c>
      <c r="H379">
        <v>213</v>
      </c>
      <c r="I379">
        <v>232</v>
      </c>
      <c r="J379">
        <f>Table1_1[[#This Row],[Seat_Capacity]]-Table1_1[[#This Row],[Passengers]]</f>
        <v>19</v>
      </c>
      <c r="K379">
        <v>91.81</v>
      </c>
      <c r="L379" t="str" cm="1">
        <f t="array" ref="L379">_xlfn.IFS(Table1_1[[#This Row],[Load_Factor_%]]&lt;60,"Low",Table1_1[[#This Row],[Load_Factor_%]]&lt;85,"Intermediate",Table1_1[[#This Row],[Load_Factor_%]]&gt;=85,"High")</f>
        <v>High</v>
      </c>
      <c r="M379" s="4">
        <v>1736137</v>
      </c>
      <c r="N379" s="4">
        <v>142025</v>
      </c>
      <c r="O379" s="4">
        <f>SUM(Table1_1[[#This Row],[Ticket_Revenue_INR]:[Cargo_Revenue_INR]])</f>
        <v>1878162</v>
      </c>
      <c r="P379" s="4">
        <v>737302</v>
      </c>
      <c r="Q379" s="4">
        <v>922102</v>
      </c>
      <c r="R379" s="4">
        <f>SUM(Table1_1[[#This Row],[Fuel_Cost_INR]:[Operating_Cost_INR]])</f>
        <v>1659404</v>
      </c>
      <c r="S379" s="4">
        <f>Table1_1[[#This Row],[Total_Revenue]]-Table1_1[[#This Row],[Total_Cost]]</f>
        <v>218758</v>
      </c>
      <c r="T379" s="9">
        <f>(Table1_1[[#This Row],[Total_Profit]]/Table1_1[[#This Row],[Total_Revenue]])</f>
        <v>0.11647451071845773</v>
      </c>
      <c r="U379" s="5">
        <v>6</v>
      </c>
      <c r="V379" s="6" t="s">
        <v>33</v>
      </c>
      <c r="W379" s="8">
        <v>4.5</v>
      </c>
      <c r="X379" t="str" cm="1">
        <f t="array" ref="X379">_xlfn.IFS(Table1_1[[#This Row],[Customer_Rating]]&lt;3,"Poor",Table1_1[[#This Row],[Customer_Rating]]&lt;4,"Good",Table1_1[[#This Row],[Customer_Rating]]&gt;=4,"Excellent")</f>
        <v>Excellent</v>
      </c>
    </row>
    <row r="380" spans="1:24" x14ac:dyDescent="0.35">
      <c r="A380" s="2" t="s">
        <v>650</v>
      </c>
      <c r="B380" s="3">
        <v>45792</v>
      </c>
      <c r="C380" s="3" t="str">
        <f>TEXT(Table1_1[[#This Row],[Date]],"YYYY")</f>
        <v>2025</v>
      </c>
      <c r="D380" s="3" t="str">
        <f>TEXT(Table1_1[[#This Row],[Date]],"mmm")</f>
        <v>May</v>
      </c>
      <c r="E380" s="2" t="s">
        <v>32</v>
      </c>
      <c r="F380" s="2" t="str">
        <f>INDEX(IndiGo_Flight_Data!$R$2:$R$11,MATCH(Table1_1[[#This Row],[Route]],_xlfn.ANCHORARRAY(IndiGo_Flight_Data!$Q$2),0))</f>
        <v>Bengaluru - Cochin</v>
      </c>
      <c r="G380" s="2" t="s">
        <v>17</v>
      </c>
      <c r="H380">
        <v>55</v>
      </c>
      <c r="I380">
        <v>78</v>
      </c>
      <c r="J380">
        <f>Table1_1[[#This Row],[Seat_Capacity]]-Table1_1[[#This Row],[Passengers]]</f>
        <v>23</v>
      </c>
      <c r="K380">
        <v>70.510000000000005</v>
      </c>
      <c r="L380" t="str" cm="1">
        <f t="array" ref="L380">_xlfn.IFS(Table1_1[[#This Row],[Load_Factor_%]]&lt;60,"Low",Table1_1[[#This Row],[Load_Factor_%]]&lt;85,"Intermediate",Table1_1[[#This Row],[Load_Factor_%]]&gt;=85,"High")</f>
        <v>Intermediate</v>
      </c>
      <c r="M380" s="4">
        <v>223175</v>
      </c>
      <c r="N380" s="4">
        <v>82412</v>
      </c>
      <c r="O380" s="4">
        <f>SUM(Table1_1[[#This Row],[Ticket_Revenue_INR]:[Cargo_Revenue_INR]])</f>
        <v>305587</v>
      </c>
      <c r="P380" s="4">
        <v>502969</v>
      </c>
      <c r="Q380" s="4">
        <v>1075226</v>
      </c>
      <c r="R380" s="4">
        <f>SUM(Table1_1[[#This Row],[Fuel_Cost_INR]:[Operating_Cost_INR]])</f>
        <v>1578195</v>
      </c>
      <c r="S380" s="4">
        <f>Table1_1[[#This Row],[Total_Revenue]]-Table1_1[[#This Row],[Total_Cost]]</f>
        <v>-1272608</v>
      </c>
      <c r="T380" s="9">
        <f>(Table1_1[[#This Row],[Total_Profit]]/Table1_1[[#This Row],[Total_Revenue]])</f>
        <v>-4.1644703472333573</v>
      </c>
      <c r="U380" s="5">
        <v>61</v>
      </c>
      <c r="V380" s="6" t="s">
        <v>18</v>
      </c>
      <c r="W380" s="8">
        <v>3.7</v>
      </c>
      <c r="X380" t="str" cm="1">
        <f t="array" ref="X380">_xlfn.IFS(Table1_1[[#This Row],[Customer_Rating]]&lt;3,"Poor",Table1_1[[#This Row],[Customer_Rating]]&lt;4,"Good",Table1_1[[#This Row],[Customer_Rating]]&gt;=4,"Excellent")</f>
        <v>Good</v>
      </c>
    </row>
    <row r="381" spans="1:24" x14ac:dyDescent="0.35">
      <c r="A381" s="2" t="s">
        <v>651</v>
      </c>
      <c r="B381" s="3">
        <v>45976</v>
      </c>
      <c r="C381" s="3" t="str">
        <f>TEXT(Table1_1[[#This Row],[Date]],"YYYY")</f>
        <v>2025</v>
      </c>
      <c r="D381" s="3" t="str">
        <f>TEXT(Table1_1[[#This Row],[Date]],"mmm")</f>
        <v>Nov</v>
      </c>
      <c r="E381" s="2" t="s">
        <v>59</v>
      </c>
      <c r="F381" s="2" t="str">
        <f>INDEX(IndiGo_Flight_Data!$R$2:$R$11,MATCH(Table1_1[[#This Row],[Route]],_xlfn.ANCHORARRAY(IndiGo_Flight_Data!$Q$2),0))</f>
        <v>Bengaluru - Bombay</v>
      </c>
      <c r="G381" s="2" t="s">
        <v>43</v>
      </c>
      <c r="H381">
        <v>204</v>
      </c>
      <c r="I381">
        <v>232</v>
      </c>
      <c r="J381">
        <f>Table1_1[[#This Row],[Seat_Capacity]]-Table1_1[[#This Row],[Passengers]]</f>
        <v>28</v>
      </c>
      <c r="K381">
        <v>87.93</v>
      </c>
      <c r="L381" t="str" cm="1">
        <f t="array" ref="L381">_xlfn.IFS(Table1_1[[#This Row],[Load_Factor_%]]&lt;60,"Low",Table1_1[[#This Row],[Load_Factor_%]]&lt;85,"Intermediate",Table1_1[[#This Row],[Load_Factor_%]]&gt;=85,"High")</f>
        <v>High</v>
      </c>
      <c r="M381" s="4">
        <v>1396327</v>
      </c>
      <c r="N381" s="4">
        <v>124575</v>
      </c>
      <c r="O381" s="4">
        <f>SUM(Table1_1[[#This Row],[Ticket_Revenue_INR]:[Cargo_Revenue_INR]])</f>
        <v>1520902</v>
      </c>
      <c r="P381" s="4">
        <v>750615</v>
      </c>
      <c r="Q381" s="4">
        <v>1164058</v>
      </c>
      <c r="R381" s="4">
        <f>SUM(Table1_1[[#This Row],[Fuel_Cost_INR]:[Operating_Cost_INR]])</f>
        <v>1914673</v>
      </c>
      <c r="S381" s="4">
        <f>Table1_1[[#This Row],[Total_Revenue]]-Table1_1[[#This Row],[Total_Cost]]</f>
        <v>-393771</v>
      </c>
      <c r="T381" s="9">
        <f>(Table1_1[[#This Row],[Total_Profit]]/Table1_1[[#This Row],[Total_Revenue]])</f>
        <v>-0.25890622801469126</v>
      </c>
      <c r="U381" s="5">
        <v>53</v>
      </c>
      <c r="V381" s="6" t="s">
        <v>18</v>
      </c>
      <c r="W381" s="8">
        <v>3.5</v>
      </c>
      <c r="X381" t="str" cm="1">
        <f t="array" ref="X381">_xlfn.IFS(Table1_1[[#This Row],[Customer_Rating]]&lt;3,"Poor",Table1_1[[#This Row],[Customer_Rating]]&lt;4,"Good",Table1_1[[#This Row],[Customer_Rating]]&gt;=4,"Excellent")</f>
        <v>Good</v>
      </c>
    </row>
    <row r="382" spans="1:24" x14ac:dyDescent="0.35">
      <c r="A382" s="2" t="s">
        <v>652</v>
      </c>
      <c r="B382" s="3">
        <v>46013</v>
      </c>
      <c r="C382" s="3" t="str">
        <f>TEXT(Table1_1[[#This Row],[Date]],"YYYY")</f>
        <v>2025</v>
      </c>
      <c r="D382" s="3" t="str">
        <f>TEXT(Table1_1[[#This Row],[Date]],"mmm")</f>
        <v>Dec</v>
      </c>
      <c r="E382" s="2" t="s">
        <v>36</v>
      </c>
      <c r="F382" s="2" t="str">
        <f>INDEX(IndiGo_Flight_Data!$R$2:$R$11,MATCH(Table1_1[[#This Row],[Route]],_xlfn.ANCHORARRAY(IndiGo_Flight_Data!$Q$2),0))</f>
        <v>Delhi - Bombay</v>
      </c>
      <c r="G382" s="2" t="s">
        <v>24</v>
      </c>
      <c r="H382">
        <v>114</v>
      </c>
      <c r="I382">
        <v>180</v>
      </c>
      <c r="J382">
        <f>Table1_1[[#This Row],[Seat_Capacity]]-Table1_1[[#This Row],[Passengers]]</f>
        <v>66</v>
      </c>
      <c r="K382">
        <v>63.33</v>
      </c>
      <c r="L382" t="str" cm="1">
        <f t="array" ref="L382">_xlfn.IFS(Table1_1[[#This Row],[Load_Factor_%]]&lt;60,"Low",Table1_1[[#This Row],[Load_Factor_%]]&lt;85,"Intermediate",Table1_1[[#This Row],[Load_Factor_%]]&gt;=85,"High")</f>
        <v>Intermediate</v>
      </c>
      <c r="M382" s="4">
        <v>652413</v>
      </c>
      <c r="N382" s="4">
        <v>16989</v>
      </c>
      <c r="O382" s="4">
        <f>SUM(Table1_1[[#This Row],[Ticket_Revenue_INR]:[Cargo_Revenue_INR]])</f>
        <v>669402</v>
      </c>
      <c r="P382" s="4">
        <v>335996</v>
      </c>
      <c r="Q382" s="4">
        <v>925677</v>
      </c>
      <c r="R382" s="4">
        <f>SUM(Table1_1[[#This Row],[Fuel_Cost_INR]:[Operating_Cost_INR]])</f>
        <v>1261673</v>
      </c>
      <c r="S382" s="4">
        <f>Table1_1[[#This Row],[Total_Revenue]]-Table1_1[[#This Row],[Total_Cost]]</f>
        <v>-592271</v>
      </c>
      <c r="T382" s="9">
        <f>(Table1_1[[#This Row],[Total_Profit]]/Table1_1[[#This Row],[Total_Revenue]])</f>
        <v>-0.88477626299293999</v>
      </c>
      <c r="U382" s="5">
        <v>52</v>
      </c>
      <c r="V382" s="6" t="s">
        <v>18</v>
      </c>
      <c r="W382" s="8">
        <v>3.6</v>
      </c>
      <c r="X382" t="str" cm="1">
        <f t="array" ref="X382">_xlfn.IFS(Table1_1[[#This Row],[Customer_Rating]]&lt;3,"Poor",Table1_1[[#This Row],[Customer_Rating]]&lt;4,"Good",Table1_1[[#This Row],[Customer_Rating]]&gt;=4,"Excellent")</f>
        <v>Good</v>
      </c>
    </row>
    <row r="383" spans="1:24" x14ac:dyDescent="0.35">
      <c r="A383" s="2" t="s">
        <v>654</v>
      </c>
      <c r="B383" s="3">
        <v>45730</v>
      </c>
      <c r="C383" s="3" t="str">
        <f>TEXT(Table1_1[[#This Row],[Date]],"YYYY")</f>
        <v>2025</v>
      </c>
      <c r="D383" s="3" t="str">
        <f>TEXT(Table1_1[[#This Row],[Date]],"mmm")</f>
        <v>Mar</v>
      </c>
      <c r="E383" s="2" t="s">
        <v>21</v>
      </c>
      <c r="F383" s="2" t="str">
        <f>INDEX(IndiGo_Flight_Data!$R$2:$R$11,MATCH(Table1_1[[#This Row],[Route]],_xlfn.ANCHORARRAY(IndiGo_Flight_Data!$Q$2),0))</f>
        <v>Bengaluru - Hyderabad</v>
      </c>
      <c r="G383" s="2" t="s">
        <v>24</v>
      </c>
      <c r="H383">
        <v>176</v>
      </c>
      <c r="I383">
        <v>180</v>
      </c>
      <c r="J383">
        <f>Table1_1[[#This Row],[Seat_Capacity]]-Table1_1[[#This Row],[Passengers]]</f>
        <v>4</v>
      </c>
      <c r="K383">
        <v>97.78</v>
      </c>
      <c r="L383" t="str" cm="1">
        <f t="array" ref="L383">_xlfn.IFS(Table1_1[[#This Row],[Load_Factor_%]]&lt;60,"Low",Table1_1[[#This Row],[Load_Factor_%]]&lt;85,"Intermediate",Table1_1[[#This Row],[Load_Factor_%]]&gt;=85,"High")</f>
        <v>High</v>
      </c>
      <c r="M383" s="4">
        <v>1085061</v>
      </c>
      <c r="N383" s="4">
        <v>90685</v>
      </c>
      <c r="O383" s="4">
        <f>SUM(Table1_1[[#This Row],[Ticket_Revenue_INR]:[Cargo_Revenue_INR]])</f>
        <v>1175746</v>
      </c>
      <c r="P383" s="4">
        <v>754182</v>
      </c>
      <c r="Q383" s="4">
        <v>1234193</v>
      </c>
      <c r="R383" s="4">
        <f>SUM(Table1_1[[#This Row],[Fuel_Cost_INR]:[Operating_Cost_INR]])</f>
        <v>1988375</v>
      </c>
      <c r="S383" s="4">
        <f>Table1_1[[#This Row],[Total_Revenue]]-Table1_1[[#This Row],[Total_Cost]]</f>
        <v>-812629</v>
      </c>
      <c r="T383" s="9">
        <f>(Table1_1[[#This Row],[Total_Profit]]/Table1_1[[#This Row],[Total_Revenue]])</f>
        <v>-0.69116033565072732</v>
      </c>
      <c r="U383" s="5">
        <v>88</v>
      </c>
      <c r="V383" s="6" t="s">
        <v>18</v>
      </c>
      <c r="W383" s="8">
        <v>3.7</v>
      </c>
      <c r="X383" t="str" cm="1">
        <f t="array" ref="X383">_xlfn.IFS(Table1_1[[#This Row],[Customer_Rating]]&lt;3,"Poor",Table1_1[[#This Row],[Customer_Rating]]&lt;4,"Good",Table1_1[[#This Row],[Customer_Rating]]&gt;=4,"Excellent")</f>
        <v>Good</v>
      </c>
    </row>
    <row r="384" spans="1:24" x14ac:dyDescent="0.35">
      <c r="A384" s="2" t="s">
        <v>656</v>
      </c>
      <c r="B384" s="3">
        <v>45730</v>
      </c>
      <c r="C384" s="3" t="str">
        <f>TEXT(Table1_1[[#This Row],[Date]],"YYYY")</f>
        <v>2025</v>
      </c>
      <c r="D384" s="3" t="str">
        <f>TEXT(Table1_1[[#This Row],[Date]],"mmm")</f>
        <v>Mar</v>
      </c>
      <c r="E384" s="2" t="s">
        <v>36</v>
      </c>
      <c r="F384" s="2" t="str">
        <f>INDEX(IndiGo_Flight_Data!$R$2:$R$11,MATCH(Table1_1[[#This Row],[Route]],_xlfn.ANCHORARRAY(IndiGo_Flight_Data!$Q$2),0))</f>
        <v>Delhi - Bombay</v>
      </c>
      <c r="G384" s="2" t="s">
        <v>17</v>
      </c>
      <c r="H384">
        <v>75</v>
      </c>
      <c r="I384">
        <v>78</v>
      </c>
      <c r="J384">
        <f>Table1_1[[#This Row],[Seat_Capacity]]-Table1_1[[#This Row],[Passengers]]</f>
        <v>3</v>
      </c>
      <c r="K384">
        <v>96.15</v>
      </c>
      <c r="L384" t="str" cm="1">
        <f t="array" ref="L384">_xlfn.IFS(Table1_1[[#This Row],[Load_Factor_%]]&lt;60,"Low",Table1_1[[#This Row],[Load_Factor_%]]&lt;85,"Intermediate",Table1_1[[#This Row],[Load_Factor_%]]&gt;=85,"High")</f>
        <v>High</v>
      </c>
      <c r="M384" s="4">
        <v>616378</v>
      </c>
      <c r="N384" s="4">
        <v>77337</v>
      </c>
      <c r="O384" s="4">
        <f>SUM(Table1_1[[#This Row],[Ticket_Revenue_INR]:[Cargo_Revenue_INR]])</f>
        <v>693715</v>
      </c>
      <c r="P384" s="4">
        <v>515066</v>
      </c>
      <c r="Q384" s="4">
        <v>758234</v>
      </c>
      <c r="R384" s="4">
        <f>SUM(Table1_1[[#This Row],[Fuel_Cost_INR]:[Operating_Cost_INR]])</f>
        <v>1273300</v>
      </c>
      <c r="S384" s="4">
        <f>Table1_1[[#This Row],[Total_Revenue]]-Table1_1[[#This Row],[Total_Cost]]</f>
        <v>-579585</v>
      </c>
      <c r="T384" s="9">
        <f>(Table1_1[[#This Row],[Total_Profit]]/Table1_1[[#This Row],[Total_Revenue]])</f>
        <v>-0.8354799881795838</v>
      </c>
      <c r="U384" s="5">
        <v>69</v>
      </c>
      <c r="V384" s="6" t="s">
        <v>18</v>
      </c>
      <c r="W384" s="8">
        <v>4.2</v>
      </c>
      <c r="X384" t="str" cm="1">
        <f t="array" ref="X384">_xlfn.IFS(Table1_1[[#This Row],[Customer_Rating]]&lt;3,"Poor",Table1_1[[#This Row],[Customer_Rating]]&lt;4,"Good",Table1_1[[#This Row],[Customer_Rating]]&gt;=4,"Excellent")</f>
        <v>Excellent</v>
      </c>
    </row>
    <row r="385" spans="1:24" x14ac:dyDescent="0.35">
      <c r="A385" s="2" t="s">
        <v>657</v>
      </c>
      <c r="B385" s="3">
        <v>45714</v>
      </c>
      <c r="C385" s="3" t="str">
        <f>TEXT(Table1_1[[#This Row],[Date]],"YYYY")</f>
        <v>2025</v>
      </c>
      <c r="D385" s="3" t="str">
        <f>TEXT(Table1_1[[#This Row],[Date]],"mmm")</f>
        <v>Feb</v>
      </c>
      <c r="E385" s="2" t="s">
        <v>36</v>
      </c>
      <c r="F385" s="2" t="str">
        <f>INDEX(IndiGo_Flight_Data!$R$2:$R$11,MATCH(Table1_1[[#This Row],[Route]],_xlfn.ANCHORARRAY(IndiGo_Flight_Data!$Q$2),0))</f>
        <v>Delhi - Bombay</v>
      </c>
      <c r="G385" s="2" t="s">
        <v>24</v>
      </c>
      <c r="H385">
        <v>175</v>
      </c>
      <c r="I385">
        <v>180</v>
      </c>
      <c r="J385">
        <f>Table1_1[[#This Row],[Seat_Capacity]]-Table1_1[[#This Row],[Passengers]]</f>
        <v>5</v>
      </c>
      <c r="K385">
        <v>97.22</v>
      </c>
      <c r="L385" t="str" cm="1">
        <f t="array" ref="L385">_xlfn.IFS(Table1_1[[#This Row],[Load_Factor_%]]&lt;60,"Low",Table1_1[[#This Row],[Load_Factor_%]]&lt;85,"Intermediate",Table1_1[[#This Row],[Load_Factor_%]]&gt;=85,"High")</f>
        <v>High</v>
      </c>
      <c r="M385" s="4">
        <v>892142</v>
      </c>
      <c r="N385" s="4">
        <v>16482</v>
      </c>
      <c r="O385" s="4">
        <f>SUM(Table1_1[[#This Row],[Ticket_Revenue_INR]:[Cargo_Revenue_INR]])</f>
        <v>908624</v>
      </c>
      <c r="P385" s="4">
        <v>621626</v>
      </c>
      <c r="Q385" s="4">
        <v>975002</v>
      </c>
      <c r="R385" s="4">
        <f>SUM(Table1_1[[#This Row],[Fuel_Cost_INR]:[Operating_Cost_INR]])</f>
        <v>1596628</v>
      </c>
      <c r="S385" s="4">
        <f>Table1_1[[#This Row],[Total_Revenue]]-Table1_1[[#This Row],[Total_Cost]]</f>
        <v>-688004</v>
      </c>
      <c r="T385" s="9">
        <f>(Table1_1[[#This Row],[Total_Profit]]/Table1_1[[#This Row],[Total_Revenue]])</f>
        <v>-0.75719329447604289</v>
      </c>
      <c r="U385" s="5">
        <v>27</v>
      </c>
      <c r="V385" s="6" t="s">
        <v>18</v>
      </c>
      <c r="W385" s="8">
        <v>4.0999999999999996</v>
      </c>
      <c r="X385" t="str" cm="1">
        <f t="array" ref="X385">_xlfn.IFS(Table1_1[[#This Row],[Customer_Rating]]&lt;3,"Poor",Table1_1[[#This Row],[Customer_Rating]]&lt;4,"Good",Table1_1[[#This Row],[Customer_Rating]]&gt;=4,"Excellent")</f>
        <v>Excellent</v>
      </c>
    </row>
    <row r="386" spans="1:24" x14ac:dyDescent="0.35">
      <c r="A386" s="2" t="s">
        <v>658</v>
      </c>
      <c r="B386" s="3">
        <v>45901</v>
      </c>
      <c r="C386" s="3" t="str">
        <f>TEXT(Table1_1[[#This Row],[Date]],"YYYY")</f>
        <v>2025</v>
      </c>
      <c r="D386" s="3" t="str">
        <f>TEXT(Table1_1[[#This Row],[Date]],"mmm")</f>
        <v>Sep</v>
      </c>
      <c r="E386" s="2" t="s">
        <v>32</v>
      </c>
      <c r="F386" s="2" t="str">
        <f>INDEX(IndiGo_Flight_Data!$R$2:$R$11,MATCH(Table1_1[[#This Row],[Route]],_xlfn.ANCHORARRAY(IndiGo_Flight_Data!$Q$2),0))</f>
        <v>Bengaluru - Cochin</v>
      </c>
      <c r="G386" s="2" t="s">
        <v>17</v>
      </c>
      <c r="H386">
        <v>48</v>
      </c>
      <c r="I386">
        <v>78</v>
      </c>
      <c r="J386">
        <f>Table1_1[[#This Row],[Seat_Capacity]]-Table1_1[[#This Row],[Passengers]]</f>
        <v>30</v>
      </c>
      <c r="K386">
        <v>61.54</v>
      </c>
      <c r="L386" t="str" cm="1">
        <f t="array" ref="L386">_xlfn.IFS(Table1_1[[#This Row],[Load_Factor_%]]&lt;60,"Low",Table1_1[[#This Row],[Load_Factor_%]]&lt;85,"Intermediate",Table1_1[[#This Row],[Load_Factor_%]]&gt;=85,"High")</f>
        <v>Intermediate</v>
      </c>
      <c r="M386" s="4">
        <v>223666</v>
      </c>
      <c r="N386" s="4">
        <v>78086</v>
      </c>
      <c r="O386" s="4">
        <f>SUM(Table1_1[[#This Row],[Ticket_Revenue_INR]:[Cargo_Revenue_INR]])</f>
        <v>301752</v>
      </c>
      <c r="P386" s="4">
        <v>347730</v>
      </c>
      <c r="Q386" s="4">
        <v>961675</v>
      </c>
      <c r="R386" s="4">
        <f>SUM(Table1_1[[#This Row],[Fuel_Cost_INR]:[Operating_Cost_INR]])</f>
        <v>1309405</v>
      </c>
      <c r="S386" s="4">
        <f>Table1_1[[#This Row],[Total_Revenue]]-Table1_1[[#This Row],[Total_Cost]]</f>
        <v>-1007653</v>
      </c>
      <c r="T386" s="9">
        <f>(Table1_1[[#This Row],[Total_Profit]]/Table1_1[[#This Row],[Total_Revenue]])</f>
        <v>-3.3393415785148068</v>
      </c>
      <c r="U386" s="5">
        <v>83</v>
      </c>
      <c r="V386" s="6" t="s">
        <v>18</v>
      </c>
      <c r="W386" s="8">
        <v>4.5999999999999996</v>
      </c>
      <c r="X386" t="str" cm="1">
        <f t="array" ref="X386">_xlfn.IFS(Table1_1[[#This Row],[Customer_Rating]]&lt;3,"Poor",Table1_1[[#This Row],[Customer_Rating]]&lt;4,"Good",Table1_1[[#This Row],[Customer_Rating]]&gt;=4,"Excellent")</f>
        <v>Excellent</v>
      </c>
    </row>
    <row r="387" spans="1:24" x14ac:dyDescent="0.35">
      <c r="A387" s="2" t="s">
        <v>659</v>
      </c>
      <c r="B387" s="3">
        <v>45676</v>
      </c>
      <c r="C387" s="3" t="str">
        <f>TEXT(Table1_1[[#This Row],[Date]],"YYYY")</f>
        <v>2025</v>
      </c>
      <c r="D387" s="3" t="str">
        <f>TEXT(Table1_1[[#This Row],[Date]],"mmm")</f>
        <v>Jan</v>
      </c>
      <c r="E387" s="2" t="s">
        <v>32</v>
      </c>
      <c r="F387" s="2" t="str">
        <f>INDEX(IndiGo_Flight_Data!$R$2:$R$11,MATCH(Table1_1[[#This Row],[Route]],_xlfn.ANCHORARRAY(IndiGo_Flight_Data!$Q$2),0))</f>
        <v>Bengaluru - Cochin</v>
      </c>
      <c r="G387" s="2" t="s">
        <v>43</v>
      </c>
      <c r="H387">
        <v>158</v>
      </c>
      <c r="I387">
        <v>232</v>
      </c>
      <c r="J387">
        <f>Table1_1[[#This Row],[Seat_Capacity]]-Table1_1[[#This Row],[Passengers]]</f>
        <v>74</v>
      </c>
      <c r="K387">
        <v>68.099999999999994</v>
      </c>
      <c r="L387" t="str" cm="1">
        <f t="array" ref="L387">_xlfn.IFS(Table1_1[[#This Row],[Load_Factor_%]]&lt;60,"Low",Table1_1[[#This Row],[Load_Factor_%]]&lt;85,"Intermediate",Table1_1[[#This Row],[Load_Factor_%]]&gt;=85,"High")</f>
        <v>Intermediate</v>
      </c>
      <c r="M387" s="4">
        <v>1372790</v>
      </c>
      <c r="N387" s="4">
        <v>104445</v>
      </c>
      <c r="O387" s="4">
        <f>SUM(Table1_1[[#This Row],[Ticket_Revenue_INR]:[Cargo_Revenue_INR]])</f>
        <v>1477235</v>
      </c>
      <c r="P387" s="4">
        <v>346022</v>
      </c>
      <c r="Q387" s="4">
        <v>893022</v>
      </c>
      <c r="R387" s="4">
        <f>SUM(Table1_1[[#This Row],[Fuel_Cost_INR]:[Operating_Cost_INR]])</f>
        <v>1239044</v>
      </c>
      <c r="S387" s="4">
        <f>Table1_1[[#This Row],[Total_Revenue]]-Table1_1[[#This Row],[Total_Cost]]</f>
        <v>238191</v>
      </c>
      <c r="T387" s="9">
        <f>(Table1_1[[#This Row],[Total_Profit]]/Table1_1[[#This Row],[Total_Revenue]])</f>
        <v>0.16124110246507833</v>
      </c>
      <c r="U387" s="5">
        <v>74</v>
      </c>
      <c r="V387" s="6" t="s">
        <v>18</v>
      </c>
      <c r="W387" s="8">
        <v>4.0999999999999996</v>
      </c>
      <c r="X387" t="str" cm="1">
        <f t="array" ref="X387">_xlfn.IFS(Table1_1[[#This Row],[Customer_Rating]]&lt;3,"Poor",Table1_1[[#This Row],[Customer_Rating]]&lt;4,"Good",Table1_1[[#This Row],[Customer_Rating]]&gt;=4,"Excellent")</f>
        <v>Excellent</v>
      </c>
    </row>
    <row r="388" spans="1:24" x14ac:dyDescent="0.35">
      <c r="A388" s="2" t="s">
        <v>660</v>
      </c>
      <c r="B388" s="3">
        <v>45824</v>
      </c>
      <c r="C388" s="3" t="str">
        <f>TEXT(Table1_1[[#This Row],[Date]],"YYYY")</f>
        <v>2025</v>
      </c>
      <c r="D388" s="3" t="str">
        <f>TEXT(Table1_1[[#This Row],[Date]],"mmm")</f>
        <v>Jun</v>
      </c>
      <c r="E388" s="2" t="s">
        <v>59</v>
      </c>
      <c r="F388" s="2" t="str">
        <f>INDEX(IndiGo_Flight_Data!$R$2:$R$11,MATCH(Table1_1[[#This Row],[Route]],_xlfn.ANCHORARRAY(IndiGo_Flight_Data!$Q$2),0))</f>
        <v>Bengaluru - Bombay</v>
      </c>
      <c r="G388" s="2" t="s">
        <v>43</v>
      </c>
      <c r="H388">
        <v>146</v>
      </c>
      <c r="I388">
        <v>232</v>
      </c>
      <c r="J388">
        <f>Table1_1[[#This Row],[Seat_Capacity]]-Table1_1[[#This Row],[Passengers]]</f>
        <v>86</v>
      </c>
      <c r="K388">
        <v>62.93</v>
      </c>
      <c r="L388" t="str" cm="1">
        <f t="array" ref="L388">_xlfn.IFS(Table1_1[[#This Row],[Load_Factor_%]]&lt;60,"Low",Table1_1[[#This Row],[Load_Factor_%]]&lt;85,"Intermediate",Table1_1[[#This Row],[Load_Factor_%]]&gt;=85,"High")</f>
        <v>Intermediate</v>
      </c>
      <c r="M388" s="4">
        <v>632309</v>
      </c>
      <c r="N388" s="4">
        <v>23460</v>
      </c>
      <c r="O388" s="4">
        <f>SUM(Table1_1[[#This Row],[Ticket_Revenue_INR]:[Cargo_Revenue_INR]])</f>
        <v>655769</v>
      </c>
      <c r="P388" s="4">
        <v>809757</v>
      </c>
      <c r="Q388" s="4">
        <v>1497325</v>
      </c>
      <c r="R388" s="4">
        <f>SUM(Table1_1[[#This Row],[Fuel_Cost_INR]:[Operating_Cost_INR]])</f>
        <v>2307082</v>
      </c>
      <c r="S388" s="4">
        <f>Table1_1[[#This Row],[Total_Revenue]]-Table1_1[[#This Row],[Total_Cost]]</f>
        <v>-1651313</v>
      </c>
      <c r="T388" s="9">
        <f>(Table1_1[[#This Row],[Total_Profit]]/Table1_1[[#This Row],[Total_Revenue]])</f>
        <v>-2.5181321471432776</v>
      </c>
      <c r="U388" s="5">
        <v>14</v>
      </c>
      <c r="V388" s="6" t="s">
        <v>33</v>
      </c>
      <c r="W388" s="8">
        <v>4.4000000000000004</v>
      </c>
      <c r="X388" t="str" cm="1">
        <f t="array" ref="X388">_xlfn.IFS(Table1_1[[#This Row],[Customer_Rating]]&lt;3,"Poor",Table1_1[[#This Row],[Customer_Rating]]&lt;4,"Good",Table1_1[[#This Row],[Customer_Rating]]&gt;=4,"Excellent")</f>
        <v>Excellent</v>
      </c>
    </row>
    <row r="389" spans="1:24" x14ac:dyDescent="0.35">
      <c r="A389" s="2" t="s">
        <v>661</v>
      </c>
      <c r="B389" s="3">
        <v>45940</v>
      </c>
      <c r="C389" s="3" t="str">
        <f>TEXT(Table1_1[[#This Row],[Date]],"YYYY")</f>
        <v>2025</v>
      </c>
      <c r="D389" s="3" t="str">
        <f>TEXT(Table1_1[[#This Row],[Date]],"mmm")</f>
        <v>Oct</v>
      </c>
      <c r="E389" s="2" t="s">
        <v>21</v>
      </c>
      <c r="F389" s="2" t="str">
        <f>INDEX(IndiGo_Flight_Data!$R$2:$R$11,MATCH(Table1_1[[#This Row],[Route]],_xlfn.ANCHORARRAY(IndiGo_Flight_Data!$Q$2),0))</f>
        <v>Bengaluru - Hyderabad</v>
      </c>
      <c r="G389" s="2" t="s">
        <v>17</v>
      </c>
      <c r="H389">
        <v>50</v>
      </c>
      <c r="I389">
        <v>78</v>
      </c>
      <c r="J389">
        <f>Table1_1[[#This Row],[Seat_Capacity]]-Table1_1[[#This Row],[Passengers]]</f>
        <v>28</v>
      </c>
      <c r="K389">
        <v>64.099999999999994</v>
      </c>
      <c r="L389" t="str" cm="1">
        <f t="array" ref="L389">_xlfn.IFS(Table1_1[[#This Row],[Load_Factor_%]]&lt;60,"Low",Table1_1[[#This Row],[Load_Factor_%]]&lt;85,"Intermediate",Table1_1[[#This Row],[Load_Factor_%]]&gt;=85,"High")</f>
        <v>Intermediate</v>
      </c>
      <c r="M389" s="4">
        <v>371853</v>
      </c>
      <c r="N389" s="4">
        <v>139240</v>
      </c>
      <c r="O389" s="4">
        <f>SUM(Table1_1[[#This Row],[Ticket_Revenue_INR]:[Cargo_Revenue_INR]])</f>
        <v>511093</v>
      </c>
      <c r="P389" s="4">
        <v>535962</v>
      </c>
      <c r="Q389" s="4">
        <v>668208</v>
      </c>
      <c r="R389" s="4">
        <f>SUM(Table1_1[[#This Row],[Fuel_Cost_INR]:[Operating_Cost_INR]])</f>
        <v>1204170</v>
      </c>
      <c r="S389" s="4">
        <f>Table1_1[[#This Row],[Total_Revenue]]-Table1_1[[#This Row],[Total_Cost]]</f>
        <v>-693077</v>
      </c>
      <c r="T389" s="9">
        <f>(Table1_1[[#This Row],[Total_Profit]]/Table1_1[[#This Row],[Total_Revenue]])</f>
        <v>-1.3560682693756323</v>
      </c>
      <c r="U389" s="5">
        <v>17</v>
      </c>
      <c r="V389" s="6" t="s">
        <v>18</v>
      </c>
      <c r="W389" s="8">
        <v>4.8</v>
      </c>
      <c r="X389" t="str" cm="1">
        <f t="array" ref="X389">_xlfn.IFS(Table1_1[[#This Row],[Customer_Rating]]&lt;3,"Poor",Table1_1[[#This Row],[Customer_Rating]]&lt;4,"Good",Table1_1[[#This Row],[Customer_Rating]]&gt;=4,"Excellent")</f>
        <v>Excellent</v>
      </c>
    </row>
    <row r="390" spans="1:24" x14ac:dyDescent="0.35">
      <c r="A390" s="2" t="s">
        <v>662</v>
      </c>
      <c r="B390" s="3">
        <v>45833</v>
      </c>
      <c r="C390" s="3" t="str">
        <f>TEXT(Table1_1[[#This Row],[Date]],"YYYY")</f>
        <v>2025</v>
      </c>
      <c r="D390" s="3" t="str">
        <f>TEXT(Table1_1[[#This Row],[Date]],"mmm")</f>
        <v>Jun</v>
      </c>
      <c r="E390" s="2" t="s">
        <v>59</v>
      </c>
      <c r="F390" s="2" t="str">
        <f>INDEX(IndiGo_Flight_Data!$R$2:$R$11,MATCH(Table1_1[[#This Row],[Route]],_xlfn.ANCHORARRAY(IndiGo_Flight_Data!$Q$2),0))</f>
        <v>Bengaluru - Bombay</v>
      </c>
      <c r="G390" s="2" t="s">
        <v>43</v>
      </c>
      <c r="H390">
        <v>202</v>
      </c>
      <c r="I390">
        <v>232</v>
      </c>
      <c r="J390">
        <f>Table1_1[[#This Row],[Seat_Capacity]]-Table1_1[[#This Row],[Passengers]]</f>
        <v>30</v>
      </c>
      <c r="K390">
        <v>87.07</v>
      </c>
      <c r="L390" t="str" cm="1">
        <f t="array" ref="L390">_xlfn.IFS(Table1_1[[#This Row],[Load_Factor_%]]&lt;60,"Low",Table1_1[[#This Row],[Load_Factor_%]]&lt;85,"Intermediate",Table1_1[[#This Row],[Load_Factor_%]]&gt;=85,"High")</f>
        <v>High</v>
      </c>
      <c r="M390" s="4">
        <v>1425015</v>
      </c>
      <c r="N390" s="4">
        <v>108352</v>
      </c>
      <c r="O390" s="4">
        <f>SUM(Table1_1[[#This Row],[Ticket_Revenue_INR]:[Cargo_Revenue_INR]])</f>
        <v>1533367</v>
      </c>
      <c r="P390" s="4">
        <v>788856</v>
      </c>
      <c r="Q390" s="4">
        <v>1266843</v>
      </c>
      <c r="R390" s="4">
        <f>SUM(Table1_1[[#This Row],[Fuel_Cost_INR]:[Operating_Cost_INR]])</f>
        <v>2055699</v>
      </c>
      <c r="S390" s="4">
        <f>Table1_1[[#This Row],[Total_Revenue]]-Table1_1[[#This Row],[Total_Cost]]</f>
        <v>-522332</v>
      </c>
      <c r="T390" s="9">
        <f>(Table1_1[[#This Row],[Total_Profit]]/Table1_1[[#This Row],[Total_Revenue]])</f>
        <v>-0.34064382499427731</v>
      </c>
      <c r="U390" s="5">
        <v>83</v>
      </c>
      <c r="V390" s="6" t="s">
        <v>18</v>
      </c>
      <c r="W390" s="8">
        <v>3.5</v>
      </c>
      <c r="X390" t="str" cm="1">
        <f t="array" ref="X390">_xlfn.IFS(Table1_1[[#This Row],[Customer_Rating]]&lt;3,"Poor",Table1_1[[#This Row],[Customer_Rating]]&lt;4,"Good",Table1_1[[#This Row],[Customer_Rating]]&gt;=4,"Excellent")</f>
        <v>Good</v>
      </c>
    </row>
    <row r="391" spans="1:24" x14ac:dyDescent="0.35">
      <c r="A391" s="2" t="s">
        <v>663</v>
      </c>
      <c r="B391" s="3">
        <v>46015</v>
      </c>
      <c r="C391" s="3" t="str">
        <f>TEXT(Table1_1[[#This Row],[Date]],"YYYY")</f>
        <v>2025</v>
      </c>
      <c r="D391" s="3" t="str">
        <f>TEXT(Table1_1[[#This Row],[Date]],"mmm")</f>
        <v>Dec</v>
      </c>
      <c r="E391" s="2" t="s">
        <v>42</v>
      </c>
      <c r="F391" s="2" t="str">
        <f>INDEX(IndiGo_Flight_Data!$R$2:$R$11,MATCH(Table1_1[[#This Row],[Route]],_xlfn.ANCHORARRAY(IndiGo_Flight_Data!$Q$2),0))</f>
        <v>Bombay - Hyderabad</v>
      </c>
      <c r="G391" s="2" t="s">
        <v>17</v>
      </c>
      <c r="H391">
        <v>53</v>
      </c>
      <c r="I391">
        <v>78</v>
      </c>
      <c r="J391">
        <f>Table1_1[[#This Row],[Seat_Capacity]]-Table1_1[[#This Row],[Passengers]]</f>
        <v>25</v>
      </c>
      <c r="K391">
        <v>67.95</v>
      </c>
      <c r="L391" t="str" cm="1">
        <f t="array" ref="L391">_xlfn.IFS(Table1_1[[#This Row],[Load_Factor_%]]&lt;60,"Low",Table1_1[[#This Row],[Load_Factor_%]]&lt;85,"Intermediate",Table1_1[[#This Row],[Load_Factor_%]]&gt;=85,"High")</f>
        <v>Intermediate</v>
      </c>
      <c r="M391" s="4">
        <v>242396</v>
      </c>
      <c r="N391" s="4">
        <v>61795</v>
      </c>
      <c r="O391" s="4">
        <f>SUM(Table1_1[[#This Row],[Ticket_Revenue_INR]:[Cargo_Revenue_INR]])</f>
        <v>304191</v>
      </c>
      <c r="P391" s="4">
        <v>1085016</v>
      </c>
      <c r="Q391" s="4">
        <v>1431956</v>
      </c>
      <c r="R391" s="4">
        <f>SUM(Table1_1[[#This Row],[Fuel_Cost_INR]:[Operating_Cost_INR]])</f>
        <v>2516972</v>
      </c>
      <c r="S391" s="4">
        <f>Table1_1[[#This Row],[Total_Revenue]]-Table1_1[[#This Row],[Total_Cost]]</f>
        <v>-2212781</v>
      </c>
      <c r="T391" s="9">
        <f>(Table1_1[[#This Row],[Total_Profit]]/Table1_1[[#This Row],[Total_Revenue]])</f>
        <v>-7.2743144931967088</v>
      </c>
      <c r="U391" s="5">
        <v>29</v>
      </c>
      <c r="V391" s="6" t="s">
        <v>18</v>
      </c>
      <c r="W391" s="8">
        <v>3.7</v>
      </c>
      <c r="X391" t="str" cm="1">
        <f t="array" ref="X391">_xlfn.IFS(Table1_1[[#This Row],[Customer_Rating]]&lt;3,"Poor",Table1_1[[#This Row],[Customer_Rating]]&lt;4,"Good",Table1_1[[#This Row],[Customer_Rating]]&gt;=4,"Excellent")</f>
        <v>Good</v>
      </c>
    </row>
    <row r="392" spans="1:24" x14ac:dyDescent="0.35">
      <c r="A392" s="2" t="s">
        <v>664</v>
      </c>
      <c r="B392" s="3">
        <v>45693</v>
      </c>
      <c r="C392" s="3" t="str">
        <f>TEXT(Table1_1[[#This Row],[Date]],"YYYY")</f>
        <v>2025</v>
      </c>
      <c r="D392" s="3" t="str">
        <f>TEXT(Table1_1[[#This Row],[Date]],"mmm")</f>
        <v>Feb</v>
      </c>
      <c r="E392" s="2" t="s">
        <v>59</v>
      </c>
      <c r="F392" s="2" t="str">
        <f>INDEX(IndiGo_Flight_Data!$R$2:$R$11,MATCH(Table1_1[[#This Row],[Route]],_xlfn.ANCHORARRAY(IndiGo_Flight_Data!$Q$2),0))</f>
        <v>Bengaluru - Bombay</v>
      </c>
      <c r="G392" s="2" t="s">
        <v>17</v>
      </c>
      <c r="H392">
        <v>46</v>
      </c>
      <c r="I392">
        <v>78</v>
      </c>
      <c r="J392">
        <f>Table1_1[[#This Row],[Seat_Capacity]]-Table1_1[[#This Row],[Passengers]]</f>
        <v>32</v>
      </c>
      <c r="K392">
        <v>58.97</v>
      </c>
      <c r="L392" t="str" cm="1">
        <f t="array" ref="L392">_xlfn.IFS(Table1_1[[#This Row],[Load_Factor_%]]&lt;60,"Low",Table1_1[[#This Row],[Load_Factor_%]]&lt;85,"Intermediate",Table1_1[[#This Row],[Load_Factor_%]]&gt;=85,"High")</f>
        <v>Low</v>
      </c>
      <c r="M392" s="4">
        <v>214598</v>
      </c>
      <c r="N392" s="4">
        <v>87207</v>
      </c>
      <c r="O392" s="4">
        <f>SUM(Table1_1[[#This Row],[Ticket_Revenue_INR]:[Cargo_Revenue_INR]])</f>
        <v>301805</v>
      </c>
      <c r="P392" s="4">
        <v>475953</v>
      </c>
      <c r="Q392" s="4">
        <v>1056060</v>
      </c>
      <c r="R392" s="4">
        <f>SUM(Table1_1[[#This Row],[Fuel_Cost_INR]:[Operating_Cost_INR]])</f>
        <v>1532013</v>
      </c>
      <c r="S392" s="4">
        <f>Table1_1[[#This Row],[Total_Revenue]]-Table1_1[[#This Row],[Total_Cost]]</f>
        <v>-1230208</v>
      </c>
      <c r="T392" s="9">
        <f>(Table1_1[[#This Row],[Total_Profit]]/Table1_1[[#This Row],[Total_Revenue]])</f>
        <v>-4.0761683868723182</v>
      </c>
      <c r="U392" s="5">
        <v>55</v>
      </c>
      <c r="V392" s="6" t="s">
        <v>18</v>
      </c>
      <c r="W392" s="8">
        <v>4.3</v>
      </c>
      <c r="X392" t="str" cm="1">
        <f t="array" ref="X392">_xlfn.IFS(Table1_1[[#This Row],[Customer_Rating]]&lt;3,"Poor",Table1_1[[#This Row],[Customer_Rating]]&lt;4,"Good",Table1_1[[#This Row],[Customer_Rating]]&gt;=4,"Excellent")</f>
        <v>Excellent</v>
      </c>
    </row>
    <row r="393" spans="1:24" x14ac:dyDescent="0.35">
      <c r="A393" s="2" t="s">
        <v>665</v>
      </c>
      <c r="B393" s="3">
        <v>45988</v>
      </c>
      <c r="C393" s="3" t="str">
        <f>TEXT(Table1_1[[#This Row],[Date]],"YYYY")</f>
        <v>2025</v>
      </c>
      <c r="D393" s="3" t="str">
        <f>TEXT(Table1_1[[#This Row],[Date]],"mmm")</f>
        <v>Nov</v>
      </c>
      <c r="E393" s="2" t="s">
        <v>16</v>
      </c>
      <c r="F393" s="2" t="str">
        <f>INDEX(IndiGo_Flight_Data!$R$2:$R$11,MATCH(Table1_1[[#This Row],[Route]],_xlfn.ANCHORARRAY(IndiGo_Flight_Data!$Q$2),0))</f>
        <v>Delhi - Goa</v>
      </c>
      <c r="G393" s="2" t="s">
        <v>17</v>
      </c>
      <c r="H393">
        <v>54</v>
      </c>
      <c r="I393">
        <v>78</v>
      </c>
      <c r="J393">
        <f>Table1_1[[#This Row],[Seat_Capacity]]-Table1_1[[#This Row],[Passengers]]</f>
        <v>24</v>
      </c>
      <c r="K393">
        <v>69.23</v>
      </c>
      <c r="L393" t="str" cm="1">
        <f t="array" ref="L393">_xlfn.IFS(Table1_1[[#This Row],[Load_Factor_%]]&lt;60,"Low",Table1_1[[#This Row],[Load_Factor_%]]&lt;85,"Intermediate",Table1_1[[#This Row],[Load_Factor_%]]&gt;=85,"High")</f>
        <v>Intermediate</v>
      </c>
      <c r="M393" s="4">
        <v>436638</v>
      </c>
      <c r="N393" s="4">
        <v>137004</v>
      </c>
      <c r="O393" s="4">
        <f>SUM(Table1_1[[#This Row],[Ticket_Revenue_INR]:[Cargo_Revenue_INR]])</f>
        <v>573642</v>
      </c>
      <c r="P393" s="4">
        <v>815103</v>
      </c>
      <c r="Q393" s="4">
        <v>915419</v>
      </c>
      <c r="R393" s="4">
        <f>SUM(Table1_1[[#This Row],[Fuel_Cost_INR]:[Operating_Cost_INR]])</f>
        <v>1730522</v>
      </c>
      <c r="S393" s="4">
        <f>Table1_1[[#This Row],[Total_Revenue]]-Table1_1[[#This Row],[Total_Cost]]</f>
        <v>-1156880</v>
      </c>
      <c r="T393" s="9">
        <f>(Table1_1[[#This Row],[Total_Profit]]/Table1_1[[#This Row],[Total_Revenue]])</f>
        <v>-2.0167282033045</v>
      </c>
      <c r="U393" s="5">
        <v>65</v>
      </c>
      <c r="V393" s="6" t="s">
        <v>18</v>
      </c>
      <c r="W393" s="8">
        <v>4.7</v>
      </c>
      <c r="X393" t="str" cm="1">
        <f t="array" ref="X393">_xlfn.IFS(Table1_1[[#This Row],[Customer_Rating]]&lt;3,"Poor",Table1_1[[#This Row],[Customer_Rating]]&lt;4,"Good",Table1_1[[#This Row],[Customer_Rating]]&gt;=4,"Excellent")</f>
        <v>Excellent</v>
      </c>
    </row>
    <row r="394" spans="1:24" x14ac:dyDescent="0.35">
      <c r="A394" s="2" t="s">
        <v>666</v>
      </c>
      <c r="B394" s="3">
        <v>45751</v>
      </c>
      <c r="C394" s="3" t="str">
        <f>TEXT(Table1_1[[#This Row],[Date]],"YYYY")</f>
        <v>2025</v>
      </c>
      <c r="D394" s="3" t="str">
        <f>TEXT(Table1_1[[#This Row],[Date]],"mmm")</f>
        <v>Apr</v>
      </c>
      <c r="E394" s="2" t="s">
        <v>117</v>
      </c>
      <c r="F394" s="2" t="str">
        <f>INDEX(IndiGo_Flight_Data!$R$2:$R$11,MATCH(Table1_1[[#This Row],[Route]],_xlfn.ANCHORARRAY(IndiGo_Flight_Data!$Q$2),0))</f>
        <v>Bengaluru - Calacatta</v>
      </c>
      <c r="G394" s="2" t="s">
        <v>43</v>
      </c>
      <c r="H394">
        <v>195</v>
      </c>
      <c r="I394">
        <v>232</v>
      </c>
      <c r="J394">
        <f>Table1_1[[#This Row],[Seat_Capacity]]-Table1_1[[#This Row],[Passengers]]</f>
        <v>37</v>
      </c>
      <c r="K394">
        <v>84.05</v>
      </c>
      <c r="L394" t="str" cm="1">
        <f t="array" ref="L394">_xlfn.IFS(Table1_1[[#This Row],[Load_Factor_%]]&lt;60,"Low",Table1_1[[#This Row],[Load_Factor_%]]&lt;85,"Intermediate",Table1_1[[#This Row],[Load_Factor_%]]&gt;=85,"High")</f>
        <v>Intermediate</v>
      </c>
      <c r="M394" s="4">
        <v>1434615</v>
      </c>
      <c r="N394" s="4">
        <v>40556</v>
      </c>
      <c r="O394" s="4">
        <f>SUM(Table1_1[[#This Row],[Ticket_Revenue_INR]:[Cargo_Revenue_INR]])</f>
        <v>1475171</v>
      </c>
      <c r="P394" s="4">
        <v>1011402</v>
      </c>
      <c r="Q394" s="4">
        <v>1586379</v>
      </c>
      <c r="R394" s="4">
        <f>SUM(Table1_1[[#This Row],[Fuel_Cost_INR]:[Operating_Cost_INR]])</f>
        <v>2597781</v>
      </c>
      <c r="S394" s="4">
        <f>Table1_1[[#This Row],[Total_Revenue]]-Table1_1[[#This Row],[Total_Cost]]</f>
        <v>-1122610</v>
      </c>
      <c r="T394" s="9">
        <f>(Table1_1[[#This Row],[Total_Profit]]/Table1_1[[#This Row],[Total_Revenue]])</f>
        <v>-0.76100330063429933</v>
      </c>
      <c r="U394" s="5">
        <v>82</v>
      </c>
      <c r="V394" s="6" t="s">
        <v>18</v>
      </c>
      <c r="W394" s="8">
        <v>3.9</v>
      </c>
      <c r="X394" t="str" cm="1">
        <f t="array" ref="X394">_xlfn.IFS(Table1_1[[#This Row],[Customer_Rating]]&lt;3,"Poor",Table1_1[[#This Row],[Customer_Rating]]&lt;4,"Good",Table1_1[[#This Row],[Customer_Rating]]&gt;=4,"Excellent")</f>
        <v>Good</v>
      </c>
    </row>
    <row r="395" spans="1:24" x14ac:dyDescent="0.35">
      <c r="A395" s="2" t="s">
        <v>668</v>
      </c>
      <c r="B395" s="3">
        <v>45945</v>
      </c>
      <c r="C395" s="3" t="str">
        <f>TEXT(Table1_1[[#This Row],[Date]],"YYYY")</f>
        <v>2025</v>
      </c>
      <c r="D395" s="3" t="str">
        <f>TEXT(Table1_1[[#This Row],[Date]],"mmm")</f>
        <v>Oct</v>
      </c>
      <c r="E395" s="2" t="s">
        <v>29</v>
      </c>
      <c r="F395" s="2" t="str">
        <f>INDEX(IndiGo_Flight_Data!$R$2:$R$11,MATCH(Table1_1[[#This Row],[Route]],_xlfn.ANCHORARRAY(IndiGo_Flight_Data!$Q$2),0))</f>
        <v>Calacatta - Delhi</v>
      </c>
      <c r="G395" s="2" t="s">
        <v>43</v>
      </c>
      <c r="H395">
        <v>140</v>
      </c>
      <c r="I395">
        <v>232</v>
      </c>
      <c r="J395">
        <f>Table1_1[[#This Row],[Seat_Capacity]]-Table1_1[[#This Row],[Passengers]]</f>
        <v>92</v>
      </c>
      <c r="K395">
        <v>60.34</v>
      </c>
      <c r="L395" t="str" cm="1">
        <f t="array" ref="L395">_xlfn.IFS(Table1_1[[#This Row],[Load_Factor_%]]&lt;60,"Low",Table1_1[[#This Row],[Load_Factor_%]]&lt;85,"Intermediate",Table1_1[[#This Row],[Load_Factor_%]]&gt;=85,"High")</f>
        <v>Intermediate</v>
      </c>
      <c r="M395" s="4">
        <v>1053532</v>
      </c>
      <c r="N395" s="4">
        <v>112467</v>
      </c>
      <c r="O395" s="4">
        <f>SUM(Table1_1[[#This Row],[Ticket_Revenue_INR]:[Cargo_Revenue_INR]])</f>
        <v>1165999</v>
      </c>
      <c r="P395" s="4">
        <v>656549</v>
      </c>
      <c r="Q395" s="4">
        <v>1283495</v>
      </c>
      <c r="R395" s="4">
        <f>SUM(Table1_1[[#This Row],[Fuel_Cost_INR]:[Operating_Cost_INR]])</f>
        <v>1940044</v>
      </c>
      <c r="S395" s="4">
        <f>Table1_1[[#This Row],[Total_Revenue]]-Table1_1[[#This Row],[Total_Cost]]</f>
        <v>-774045</v>
      </c>
      <c r="T395" s="9">
        <f>(Table1_1[[#This Row],[Total_Profit]]/Table1_1[[#This Row],[Total_Revenue]])</f>
        <v>-0.66384705304206948</v>
      </c>
      <c r="U395" s="5">
        <v>20</v>
      </c>
      <c r="V395" s="6" t="s">
        <v>18</v>
      </c>
      <c r="W395" s="8">
        <v>4.0999999999999996</v>
      </c>
      <c r="X395" t="str" cm="1">
        <f t="array" ref="X395">_xlfn.IFS(Table1_1[[#This Row],[Customer_Rating]]&lt;3,"Poor",Table1_1[[#This Row],[Customer_Rating]]&lt;4,"Good",Table1_1[[#This Row],[Customer_Rating]]&gt;=4,"Excellent")</f>
        <v>Excellent</v>
      </c>
    </row>
    <row r="396" spans="1:24" x14ac:dyDescent="0.35">
      <c r="A396" s="2" t="s">
        <v>669</v>
      </c>
      <c r="B396" s="3">
        <v>45846</v>
      </c>
      <c r="C396" s="3" t="str">
        <f>TEXT(Table1_1[[#This Row],[Date]],"YYYY")</f>
        <v>2025</v>
      </c>
      <c r="D396" s="3" t="str">
        <f>TEXT(Table1_1[[#This Row],[Date]],"mmm")</f>
        <v>Jul</v>
      </c>
      <c r="E396" s="2" t="s">
        <v>32</v>
      </c>
      <c r="F396" s="2" t="str">
        <f>INDEX(IndiGo_Flight_Data!$R$2:$R$11,MATCH(Table1_1[[#This Row],[Route]],_xlfn.ANCHORARRAY(IndiGo_Flight_Data!$Q$2),0))</f>
        <v>Bengaluru - Cochin</v>
      </c>
      <c r="G396" s="2" t="s">
        <v>43</v>
      </c>
      <c r="H396">
        <v>224</v>
      </c>
      <c r="I396">
        <v>232</v>
      </c>
      <c r="J396">
        <f>Table1_1[[#This Row],[Seat_Capacity]]-Table1_1[[#This Row],[Passengers]]</f>
        <v>8</v>
      </c>
      <c r="K396">
        <v>96.55</v>
      </c>
      <c r="L396" t="str" cm="1">
        <f t="array" ref="L396">_xlfn.IFS(Table1_1[[#This Row],[Load_Factor_%]]&lt;60,"Low",Table1_1[[#This Row],[Load_Factor_%]]&lt;85,"Intermediate",Table1_1[[#This Row],[Load_Factor_%]]&gt;=85,"High")</f>
        <v>High</v>
      </c>
      <c r="M396" s="4">
        <v>1267396</v>
      </c>
      <c r="N396" s="4">
        <v>79622</v>
      </c>
      <c r="O396" s="4">
        <f>SUM(Table1_1[[#This Row],[Ticket_Revenue_INR]:[Cargo_Revenue_INR]])</f>
        <v>1347018</v>
      </c>
      <c r="P396" s="4">
        <v>794502</v>
      </c>
      <c r="Q396" s="4">
        <v>1270848</v>
      </c>
      <c r="R396" s="4">
        <f>SUM(Table1_1[[#This Row],[Fuel_Cost_INR]:[Operating_Cost_INR]])</f>
        <v>2065350</v>
      </c>
      <c r="S396" s="4">
        <f>Table1_1[[#This Row],[Total_Revenue]]-Table1_1[[#This Row],[Total_Cost]]</f>
        <v>-718332</v>
      </c>
      <c r="T396" s="9">
        <f>(Table1_1[[#This Row],[Total_Profit]]/Table1_1[[#This Row],[Total_Revenue]])</f>
        <v>-0.53327572460056216</v>
      </c>
      <c r="U396" s="5">
        <v>15</v>
      </c>
      <c r="V396" s="6" t="s">
        <v>33</v>
      </c>
      <c r="W396" s="8">
        <v>3.7</v>
      </c>
      <c r="X396" t="str" cm="1">
        <f t="array" ref="X396">_xlfn.IFS(Table1_1[[#This Row],[Customer_Rating]]&lt;3,"Poor",Table1_1[[#This Row],[Customer_Rating]]&lt;4,"Good",Table1_1[[#This Row],[Customer_Rating]]&gt;=4,"Excellent")</f>
        <v>Good</v>
      </c>
    </row>
    <row r="397" spans="1:24" x14ac:dyDescent="0.35">
      <c r="A397" s="2" t="s">
        <v>670</v>
      </c>
      <c r="B397" s="3">
        <v>45986</v>
      </c>
      <c r="C397" s="3" t="str">
        <f>TEXT(Table1_1[[#This Row],[Date]],"YYYY")</f>
        <v>2025</v>
      </c>
      <c r="D397" s="3" t="str">
        <f>TEXT(Table1_1[[#This Row],[Date]],"mmm")</f>
        <v>Nov</v>
      </c>
      <c r="E397" s="2" t="s">
        <v>21</v>
      </c>
      <c r="F397" s="2" t="str">
        <f>INDEX(IndiGo_Flight_Data!$R$2:$R$11,MATCH(Table1_1[[#This Row],[Route]],_xlfn.ANCHORARRAY(IndiGo_Flight_Data!$Q$2),0))</f>
        <v>Bengaluru - Hyderabad</v>
      </c>
      <c r="G397" s="2" t="s">
        <v>43</v>
      </c>
      <c r="H397">
        <v>217</v>
      </c>
      <c r="I397">
        <v>232</v>
      </c>
      <c r="J397">
        <f>Table1_1[[#This Row],[Seat_Capacity]]-Table1_1[[#This Row],[Passengers]]</f>
        <v>15</v>
      </c>
      <c r="K397">
        <v>93.53</v>
      </c>
      <c r="L397" t="str" cm="1">
        <f t="array" ref="L397">_xlfn.IFS(Table1_1[[#This Row],[Load_Factor_%]]&lt;60,"Low",Table1_1[[#This Row],[Load_Factor_%]]&lt;85,"Intermediate",Table1_1[[#This Row],[Load_Factor_%]]&gt;=85,"High")</f>
        <v>High</v>
      </c>
      <c r="M397" s="4">
        <v>1833382</v>
      </c>
      <c r="N397" s="4">
        <v>132087</v>
      </c>
      <c r="O397" s="4">
        <f>SUM(Table1_1[[#This Row],[Ticket_Revenue_INR]:[Cargo_Revenue_INR]])</f>
        <v>1965469</v>
      </c>
      <c r="P397" s="4">
        <v>647661</v>
      </c>
      <c r="Q397" s="4">
        <v>1289872</v>
      </c>
      <c r="R397" s="4">
        <f>SUM(Table1_1[[#This Row],[Fuel_Cost_INR]:[Operating_Cost_INR]])</f>
        <v>1937533</v>
      </c>
      <c r="S397" s="4">
        <f>Table1_1[[#This Row],[Total_Revenue]]-Table1_1[[#This Row],[Total_Cost]]</f>
        <v>27936</v>
      </c>
      <c r="T397" s="9">
        <f>(Table1_1[[#This Row],[Total_Profit]]/Table1_1[[#This Row],[Total_Revenue]])</f>
        <v>1.421340148331009E-2</v>
      </c>
      <c r="U397" s="5">
        <v>89</v>
      </c>
      <c r="V397" s="6" t="s">
        <v>18</v>
      </c>
      <c r="W397" s="8">
        <v>3.8</v>
      </c>
      <c r="X397" t="str" cm="1">
        <f t="array" ref="X397">_xlfn.IFS(Table1_1[[#This Row],[Customer_Rating]]&lt;3,"Poor",Table1_1[[#This Row],[Customer_Rating]]&lt;4,"Good",Table1_1[[#This Row],[Customer_Rating]]&gt;=4,"Excellent")</f>
        <v>Good</v>
      </c>
    </row>
    <row r="398" spans="1:24" x14ac:dyDescent="0.35">
      <c r="A398" s="2" t="s">
        <v>671</v>
      </c>
      <c r="B398" s="3">
        <v>45667</v>
      </c>
      <c r="C398" s="3" t="str">
        <f>TEXT(Table1_1[[#This Row],[Date]],"YYYY")</f>
        <v>2025</v>
      </c>
      <c r="D398" s="3" t="str">
        <f>TEXT(Table1_1[[#This Row],[Date]],"mmm")</f>
        <v>Jan</v>
      </c>
      <c r="E398" s="2" t="s">
        <v>59</v>
      </c>
      <c r="F398" s="2" t="str">
        <f>INDEX(IndiGo_Flight_Data!$R$2:$R$11,MATCH(Table1_1[[#This Row],[Route]],_xlfn.ANCHORARRAY(IndiGo_Flight_Data!$Q$2),0))</f>
        <v>Bengaluru - Bombay</v>
      </c>
      <c r="G398" s="2" t="s">
        <v>17</v>
      </c>
      <c r="H398">
        <v>55</v>
      </c>
      <c r="I398">
        <v>78</v>
      </c>
      <c r="J398">
        <f>Table1_1[[#This Row],[Seat_Capacity]]-Table1_1[[#This Row],[Passengers]]</f>
        <v>23</v>
      </c>
      <c r="K398">
        <v>70.510000000000005</v>
      </c>
      <c r="L398" t="str" cm="1">
        <f t="array" ref="L398">_xlfn.IFS(Table1_1[[#This Row],[Load_Factor_%]]&lt;60,"Low",Table1_1[[#This Row],[Load_Factor_%]]&lt;85,"Intermediate",Table1_1[[#This Row],[Load_Factor_%]]&gt;=85,"High")</f>
        <v>Intermediate</v>
      </c>
      <c r="M398" s="4">
        <v>210135</v>
      </c>
      <c r="N398" s="4">
        <v>91241</v>
      </c>
      <c r="O398" s="4">
        <f>SUM(Table1_1[[#This Row],[Ticket_Revenue_INR]:[Cargo_Revenue_INR]])</f>
        <v>301376</v>
      </c>
      <c r="P398" s="4">
        <v>639433</v>
      </c>
      <c r="Q398" s="4">
        <v>1179323</v>
      </c>
      <c r="R398" s="4">
        <f>SUM(Table1_1[[#This Row],[Fuel_Cost_INR]:[Operating_Cost_INR]])</f>
        <v>1818756</v>
      </c>
      <c r="S398" s="4">
        <f>Table1_1[[#This Row],[Total_Revenue]]-Table1_1[[#This Row],[Total_Cost]]</f>
        <v>-1517380</v>
      </c>
      <c r="T398" s="9">
        <f>(Table1_1[[#This Row],[Total_Profit]]/Table1_1[[#This Row],[Total_Revenue]])</f>
        <v>-5.0348401996177534</v>
      </c>
      <c r="U398" s="5">
        <v>16</v>
      </c>
      <c r="V398" s="6" t="s">
        <v>18</v>
      </c>
      <c r="W398" s="8">
        <v>4.3</v>
      </c>
      <c r="X398" t="str" cm="1">
        <f t="array" ref="X398">_xlfn.IFS(Table1_1[[#This Row],[Customer_Rating]]&lt;3,"Poor",Table1_1[[#This Row],[Customer_Rating]]&lt;4,"Good",Table1_1[[#This Row],[Customer_Rating]]&gt;=4,"Excellent")</f>
        <v>Excellent</v>
      </c>
    </row>
    <row r="399" spans="1:24" x14ac:dyDescent="0.35">
      <c r="A399" s="2" t="s">
        <v>672</v>
      </c>
      <c r="B399" s="3">
        <v>45899</v>
      </c>
      <c r="C399" s="3" t="str">
        <f>TEXT(Table1_1[[#This Row],[Date]],"YYYY")</f>
        <v>2025</v>
      </c>
      <c r="D399" s="3" t="str">
        <f>TEXT(Table1_1[[#This Row],[Date]],"mmm")</f>
        <v>Aug</v>
      </c>
      <c r="E399" s="2" t="s">
        <v>42</v>
      </c>
      <c r="F399" s="2" t="str">
        <f>INDEX(IndiGo_Flight_Data!$R$2:$R$11,MATCH(Table1_1[[#This Row],[Route]],_xlfn.ANCHORARRAY(IndiGo_Flight_Data!$Q$2),0))</f>
        <v>Bombay - Hyderabad</v>
      </c>
      <c r="G399" s="2" t="s">
        <v>24</v>
      </c>
      <c r="H399">
        <v>113</v>
      </c>
      <c r="I399">
        <v>180</v>
      </c>
      <c r="J399">
        <f>Table1_1[[#This Row],[Seat_Capacity]]-Table1_1[[#This Row],[Passengers]]</f>
        <v>67</v>
      </c>
      <c r="K399">
        <v>62.78</v>
      </c>
      <c r="L399" t="str" cm="1">
        <f t="array" ref="L399">_xlfn.IFS(Table1_1[[#This Row],[Load_Factor_%]]&lt;60,"Low",Table1_1[[#This Row],[Load_Factor_%]]&lt;85,"Intermediate",Table1_1[[#This Row],[Load_Factor_%]]&gt;=85,"High")</f>
        <v>Intermediate</v>
      </c>
      <c r="M399" s="4">
        <v>922578</v>
      </c>
      <c r="N399" s="4">
        <v>145591</v>
      </c>
      <c r="O399" s="4">
        <f>SUM(Table1_1[[#This Row],[Ticket_Revenue_INR]:[Cargo_Revenue_INR]])</f>
        <v>1068169</v>
      </c>
      <c r="P399" s="4">
        <v>1098048</v>
      </c>
      <c r="Q399" s="4">
        <v>1731264</v>
      </c>
      <c r="R399" s="4">
        <f>SUM(Table1_1[[#This Row],[Fuel_Cost_INR]:[Operating_Cost_INR]])</f>
        <v>2829312</v>
      </c>
      <c r="S399" s="4">
        <f>Table1_1[[#This Row],[Total_Revenue]]-Table1_1[[#This Row],[Total_Cost]]</f>
        <v>-1761143</v>
      </c>
      <c r="T399" s="9">
        <f>(Table1_1[[#This Row],[Total_Profit]]/Table1_1[[#This Row],[Total_Revenue]])</f>
        <v>-1.6487494020141007</v>
      </c>
      <c r="U399" s="5">
        <v>22</v>
      </c>
      <c r="V399" s="6" t="s">
        <v>18</v>
      </c>
      <c r="W399" s="8">
        <v>4.4000000000000004</v>
      </c>
      <c r="X399" t="str" cm="1">
        <f t="array" ref="X399">_xlfn.IFS(Table1_1[[#This Row],[Customer_Rating]]&lt;3,"Poor",Table1_1[[#This Row],[Customer_Rating]]&lt;4,"Good",Table1_1[[#This Row],[Customer_Rating]]&gt;=4,"Excellent")</f>
        <v>Excellent</v>
      </c>
    </row>
    <row r="400" spans="1:24" x14ac:dyDescent="0.35">
      <c r="A400" s="2" t="s">
        <v>673</v>
      </c>
      <c r="B400" s="3">
        <v>45921</v>
      </c>
      <c r="C400" s="3" t="str">
        <f>TEXT(Table1_1[[#This Row],[Date]],"YYYY")</f>
        <v>2025</v>
      </c>
      <c r="D400" s="3" t="str">
        <f>TEXT(Table1_1[[#This Row],[Date]],"mmm")</f>
        <v>Sep</v>
      </c>
      <c r="E400" s="2" t="s">
        <v>42</v>
      </c>
      <c r="F400" s="2" t="str">
        <f>INDEX(IndiGo_Flight_Data!$R$2:$R$11,MATCH(Table1_1[[#This Row],[Route]],_xlfn.ANCHORARRAY(IndiGo_Flight_Data!$Q$2),0))</f>
        <v>Bombay - Hyderabad</v>
      </c>
      <c r="G400" s="2" t="s">
        <v>17</v>
      </c>
      <c r="H400">
        <v>76</v>
      </c>
      <c r="I400">
        <v>78</v>
      </c>
      <c r="J400">
        <f>Table1_1[[#This Row],[Seat_Capacity]]-Table1_1[[#This Row],[Passengers]]</f>
        <v>2</v>
      </c>
      <c r="K400">
        <v>97.44</v>
      </c>
      <c r="L400" t="str" cm="1">
        <f t="array" ref="L400">_xlfn.IFS(Table1_1[[#This Row],[Load_Factor_%]]&lt;60,"Low",Table1_1[[#This Row],[Load_Factor_%]]&lt;85,"Intermediate",Table1_1[[#This Row],[Load_Factor_%]]&gt;=85,"High")</f>
        <v>High</v>
      </c>
      <c r="M400" s="4">
        <v>385689</v>
      </c>
      <c r="N400" s="4">
        <v>51966</v>
      </c>
      <c r="O400" s="4">
        <f>SUM(Table1_1[[#This Row],[Ticket_Revenue_INR]:[Cargo_Revenue_INR]])</f>
        <v>437655</v>
      </c>
      <c r="P400" s="4">
        <v>822540</v>
      </c>
      <c r="Q400" s="4">
        <v>1366528</v>
      </c>
      <c r="R400" s="4">
        <f>SUM(Table1_1[[#This Row],[Fuel_Cost_INR]:[Operating_Cost_INR]])</f>
        <v>2189068</v>
      </c>
      <c r="S400" s="4">
        <f>Table1_1[[#This Row],[Total_Revenue]]-Table1_1[[#This Row],[Total_Cost]]</f>
        <v>-1751413</v>
      </c>
      <c r="T400" s="9">
        <f>(Table1_1[[#This Row],[Total_Profit]]/Table1_1[[#This Row],[Total_Revenue]])</f>
        <v>-4.0018119294878387</v>
      </c>
      <c r="U400" s="5">
        <v>80</v>
      </c>
      <c r="V400" s="6" t="s">
        <v>18</v>
      </c>
      <c r="W400" s="8">
        <v>4.5</v>
      </c>
      <c r="X400" t="str" cm="1">
        <f t="array" ref="X400">_xlfn.IFS(Table1_1[[#This Row],[Customer_Rating]]&lt;3,"Poor",Table1_1[[#This Row],[Customer_Rating]]&lt;4,"Good",Table1_1[[#This Row],[Customer_Rating]]&gt;=4,"Excellent")</f>
        <v>Excellent</v>
      </c>
    </row>
    <row r="401" spans="1:24" x14ac:dyDescent="0.35">
      <c r="A401" s="2" t="s">
        <v>674</v>
      </c>
      <c r="B401" s="3">
        <v>45689</v>
      </c>
      <c r="C401" s="3" t="str">
        <f>TEXT(Table1_1[[#This Row],[Date]],"YYYY")</f>
        <v>2025</v>
      </c>
      <c r="D401" s="3" t="str">
        <f>TEXT(Table1_1[[#This Row],[Date]],"mmm")</f>
        <v>Feb</v>
      </c>
      <c r="E401" s="2" t="s">
        <v>76</v>
      </c>
      <c r="F401" s="2" t="str">
        <f>INDEX(IndiGo_Flight_Data!$R$2:$R$11,MATCH(Table1_1[[#This Row],[Route]],_xlfn.ANCHORARRAY(IndiGo_Flight_Data!$Q$2),0))</f>
        <v>Madras - Delhi</v>
      </c>
      <c r="G401" s="2" t="s">
        <v>17</v>
      </c>
      <c r="H401">
        <v>51</v>
      </c>
      <c r="I401">
        <v>78</v>
      </c>
      <c r="J401">
        <f>Table1_1[[#This Row],[Seat_Capacity]]-Table1_1[[#This Row],[Passengers]]</f>
        <v>27</v>
      </c>
      <c r="K401">
        <v>65.38</v>
      </c>
      <c r="L401" t="str" cm="1">
        <f t="array" ref="L401">_xlfn.IFS(Table1_1[[#This Row],[Load_Factor_%]]&lt;60,"Low",Table1_1[[#This Row],[Load_Factor_%]]&lt;85,"Intermediate",Table1_1[[#This Row],[Load_Factor_%]]&gt;=85,"High")</f>
        <v>Intermediate</v>
      </c>
      <c r="M401" s="4">
        <v>419568</v>
      </c>
      <c r="N401" s="4">
        <v>139374</v>
      </c>
      <c r="O401" s="4">
        <f>SUM(Table1_1[[#This Row],[Ticket_Revenue_INR]:[Cargo_Revenue_INR]])</f>
        <v>558942</v>
      </c>
      <c r="P401" s="4">
        <v>1183147</v>
      </c>
      <c r="Q401" s="4">
        <v>1289086</v>
      </c>
      <c r="R401" s="4">
        <f>SUM(Table1_1[[#This Row],[Fuel_Cost_INR]:[Operating_Cost_INR]])</f>
        <v>2472233</v>
      </c>
      <c r="S401" s="4">
        <f>Table1_1[[#This Row],[Total_Revenue]]-Table1_1[[#This Row],[Total_Cost]]</f>
        <v>-1913291</v>
      </c>
      <c r="T401" s="9">
        <f>(Table1_1[[#This Row],[Total_Profit]]/Table1_1[[#This Row],[Total_Revenue]])</f>
        <v>-3.4230582063970858</v>
      </c>
      <c r="U401" s="5">
        <v>10</v>
      </c>
      <c r="V401" s="6" t="s">
        <v>33</v>
      </c>
      <c r="W401" s="8">
        <v>3.2</v>
      </c>
      <c r="X401" t="str" cm="1">
        <f t="array" ref="X401">_xlfn.IFS(Table1_1[[#This Row],[Customer_Rating]]&lt;3,"Poor",Table1_1[[#This Row],[Customer_Rating]]&lt;4,"Good",Table1_1[[#This Row],[Customer_Rating]]&gt;=4,"Excellent")</f>
        <v>Good</v>
      </c>
    </row>
    <row r="402" spans="1:24" x14ac:dyDescent="0.35">
      <c r="A402" s="2" t="s">
        <v>675</v>
      </c>
      <c r="B402" s="3">
        <v>45834</v>
      </c>
      <c r="C402" s="3" t="str">
        <f>TEXT(Table1_1[[#This Row],[Date]],"YYYY")</f>
        <v>2025</v>
      </c>
      <c r="D402" s="3" t="str">
        <f>TEXT(Table1_1[[#This Row],[Date]],"mmm")</f>
        <v>Jun</v>
      </c>
      <c r="E402" s="2" t="s">
        <v>39</v>
      </c>
      <c r="F402" s="2" t="str">
        <f>INDEX(IndiGo_Flight_Data!$R$2:$R$11,MATCH(Table1_1[[#This Row],[Route]],_xlfn.ANCHORARRAY(IndiGo_Flight_Data!$Q$2),0))</f>
        <v>Bengaluru - Delhi</v>
      </c>
      <c r="G402" s="2" t="s">
        <v>17</v>
      </c>
      <c r="H402">
        <v>65</v>
      </c>
      <c r="I402">
        <v>78</v>
      </c>
      <c r="J402">
        <f>Table1_1[[#This Row],[Seat_Capacity]]-Table1_1[[#This Row],[Passengers]]</f>
        <v>13</v>
      </c>
      <c r="K402">
        <v>83.33</v>
      </c>
      <c r="L402" t="str" cm="1">
        <f t="array" ref="L402">_xlfn.IFS(Table1_1[[#This Row],[Load_Factor_%]]&lt;60,"Low",Table1_1[[#This Row],[Load_Factor_%]]&lt;85,"Intermediate",Table1_1[[#This Row],[Load_Factor_%]]&gt;=85,"High")</f>
        <v>Intermediate</v>
      </c>
      <c r="M402" s="4">
        <v>284625</v>
      </c>
      <c r="N402" s="4">
        <v>101363</v>
      </c>
      <c r="O402" s="4">
        <f>SUM(Table1_1[[#This Row],[Ticket_Revenue_INR]:[Cargo_Revenue_INR]])</f>
        <v>385988</v>
      </c>
      <c r="P402" s="4">
        <v>934140</v>
      </c>
      <c r="Q402" s="4">
        <v>1524738</v>
      </c>
      <c r="R402" s="4">
        <f>SUM(Table1_1[[#This Row],[Fuel_Cost_INR]:[Operating_Cost_INR]])</f>
        <v>2458878</v>
      </c>
      <c r="S402" s="4">
        <f>Table1_1[[#This Row],[Total_Revenue]]-Table1_1[[#This Row],[Total_Cost]]</f>
        <v>-2072890</v>
      </c>
      <c r="T402" s="9">
        <f>(Table1_1[[#This Row],[Total_Profit]]/Table1_1[[#This Row],[Total_Revenue]])</f>
        <v>-5.3703483009834505</v>
      </c>
      <c r="U402" s="5">
        <v>14</v>
      </c>
      <c r="V402" s="6" t="s">
        <v>33</v>
      </c>
      <c r="W402" s="8">
        <v>4</v>
      </c>
      <c r="X402" t="str" cm="1">
        <f t="array" ref="X402">_xlfn.IFS(Table1_1[[#This Row],[Customer_Rating]]&lt;3,"Poor",Table1_1[[#This Row],[Customer_Rating]]&lt;4,"Good",Table1_1[[#This Row],[Customer_Rating]]&gt;=4,"Excellent")</f>
        <v>Excellent</v>
      </c>
    </row>
    <row r="403" spans="1:24" x14ac:dyDescent="0.35">
      <c r="A403" s="2" t="s">
        <v>677</v>
      </c>
      <c r="B403" s="3">
        <v>45971</v>
      </c>
      <c r="C403" s="3" t="str">
        <f>TEXT(Table1_1[[#This Row],[Date]],"YYYY")</f>
        <v>2025</v>
      </c>
      <c r="D403" s="3" t="str">
        <f>TEXT(Table1_1[[#This Row],[Date]],"mmm")</f>
        <v>Nov</v>
      </c>
      <c r="E403" s="2" t="s">
        <v>16</v>
      </c>
      <c r="F403" s="2" t="str">
        <f>INDEX(IndiGo_Flight_Data!$R$2:$R$11,MATCH(Table1_1[[#This Row],[Route]],_xlfn.ANCHORARRAY(IndiGo_Flight_Data!$Q$2),0))</f>
        <v>Delhi - Goa</v>
      </c>
      <c r="G403" s="2" t="s">
        <v>24</v>
      </c>
      <c r="H403">
        <v>146</v>
      </c>
      <c r="I403">
        <v>180</v>
      </c>
      <c r="J403">
        <f>Table1_1[[#This Row],[Seat_Capacity]]-Table1_1[[#This Row],[Passengers]]</f>
        <v>34</v>
      </c>
      <c r="K403">
        <v>81.11</v>
      </c>
      <c r="L403" t="str" cm="1">
        <f t="array" ref="L403">_xlfn.IFS(Table1_1[[#This Row],[Load_Factor_%]]&lt;60,"Low",Table1_1[[#This Row],[Load_Factor_%]]&lt;85,"Intermediate",Table1_1[[#This Row],[Load_Factor_%]]&gt;=85,"High")</f>
        <v>Intermediate</v>
      </c>
      <c r="M403" s="4">
        <v>1059593</v>
      </c>
      <c r="N403" s="4">
        <v>110762</v>
      </c>
      <c r="O403" s="4">
        <f>SUM(Table1_1[[#This Row],[Ticket_Revenue_INR]:[Cargo_Revenue_INR]])</f>
        <v>1170355</v>
      </c>
      <c r="P403" s="4">
        <v>340416</v>
      </c>
      <c r="Q403" s="4">
        <v>536306</v>
      </c>
      <c r="R403" s="4">
        <f>SUM(Table1_1[[#This Row],[Fuel_Cost_INR]:[Operating_Cost_INR]])</f>
        <v>876722</v>
      </c>
      <c r="S403" s="4">
        <f>Table1_1[[#This Row],[Total_Revenue]]-Table1_1[[#This Row],[Total_Cost]]</f>
        <v>293633</v>
      </c>
      <c r="T403" s="9">
        <f>(Table1_1[[#This Row],[Total_Profit]]/Table1_1[[#This Row],[Total_Revenue]])</f>
        <v>0.25089225064189924</v>
      </c>
      <c r="U403" s="5">
        <v>76</v>
      </c>
      <c r="V403" s="6" t="s">
        <v>18</v>
      </c>
      <c r="W403" s="8">
        <v>3.9</v>
      </c>
      <c r="X403" t="str" cm="1">
        <f t="array" ref="X403">_xlfn.IFS(Table1_1[[#This Row],[Customer_Rating]]&lt;3,"Poor",Table1_1[[#This Row],[Customer_Rating]]&lt;4,"Good",Table1_1[[#This Row],[Customer_Rating]]&gt;=4,"Excellent")</f>
        <v>Good</v>
      </c>
    </row>
    <row r="404" spans="1:24" x14ac:dyDescent="0.35">
      <c r="A404" s="2" t="s">
        <v>678</v>
      </c>
      <c r="B404" s="3">
        <v>45913</v>
      </c>
      <c r="C404" s="3" t="str">
        <f>TEXT(Table1_1[[#This Row],[Date]],"YYYY")</f>
        <v>2025</v>
      </c>
      <c r="D404" s="3" t="str">
        <f>TEXT(Table1_1[[#This Row],[Date]],"mmm")</f>
        <v>Sep</v>
      </c>
      <c r="E404" s="2" t="s">
        <v>39</v>
      </c>
      <c r="F404" s="2" t="str">
        <f>INDEX(IndiGo_Flight_Data!$R$2:$R$11,MATCH(Table1_1[[#This Row],[Route]],_xlfn.ANCHORARRAY(IndiGo_Flight_Data!$Q$2),0))</f>
        <v>Bengaluru - Delhi</v>
      </c>
      <c r="G404" s="2" t="s">
        <v>24</v>
      </c>
      <c r="H404">
        <v>176</v>
      </c>
      <c r="I404">
        <v>180</v>
      </c>
      <c r="J404">
        <f>Table1_1[[#This Row],[Seat_Capacity]]-Table1_1[[#This Row],[Passengers]]</f>
        <v>4</v>
      </c>
      <c r="K404">
        <v>97.78</v>
      </c>
      <c r="L404" t="str" cm="1">
        <f t="array" ref="L404">_xlfn.IFS(Table1_1[[#This Row],[Load_Factor_%]]&lt;60,"Low",Table1_1[[#This Row],[Load_Factor_%]]&lt;85,"Intermediate",Table1_1[[#This Row],[Load_Factor_%]]&gt;=85,"High")</f>
        <v>High</v>
      </c>
      <c r="M404" s="4">
        <v>887331</v>
      </c>
      <c r="N404" s="4">
        <v>113600</v>
      </c>
      <c r="O404" s="4">
        <f>SUM(Table1_1[[#This Row],[Ticket_Revenue_INR]:[Cargo_Revenue_INR]])</f>
        <v>1000931</v>
      </c>
      <c r="P404" s="4">
        <v>605402</v>
      </c>
      <c r="Q404" s="4">
        <v>1139632</v>
      </c>
      <c r="R404" s="4">
        <f>SUM(Table1_1[[#This Row],[Fuel_Cost_INR]:[Operating_Cost_INR]])</f>
        <v>1745034</v>
      </c>
      <c r="S404" s="4">
        <f>Table1_1[[#This Row],[Total_Revenue]]-Table1_1[[#This Row],[Total_Cost]]</f>
        <v>-744103</v>
      </c>
      <c r="T404" s="9">
        <f>(Table1_1[[#This Row],[Total_Profit]]/Table1_1[[#This Row],[Total_Revenue]])</f>
        <v>-0.74341088446656167</v>
      </c>
      <c r="U404" s="5">
        <v>55</v>
      </c>
      <c r="V404" s="6" t="s">
        <v>18</v>
      </c>
      <c r="W404" s="8">
        <v>3.8</v>
      </c>
      <c r="X404" t="str" cm="1">
        <f t="array" ref="X404">_xlfn.IFS(Table1_1[[#This Row],[Customer_Rating]]&lt;3,"Poor",Table1_1[[#This Row],[Customer_Rating]]&lt;4,"Good",Table1_1[[#This Row],[Customer_Rating]]&gt;=4,"Excellent")</f>
        <v>Good</v>
      </c>
    </row>
    <row r="405" spans="1:24" x14ac:dyDescent="0.35">
      <c r="A405" s="2" t="s">
        <v>679</v>
      </c>
      <c r="B405" s="3">
        <v>45851</v>
      </c>
      <c r="C405" s="3" t="str">
        <f>TEXT(Table1_1[[#This Row],[Date]],"YYYY")</f>
        <v>2025</v>
      </c>
      <c r="D405" s="3" t="str">
        <f>TEXT(Table1_1[[#This Row],[Date]],"mmm")</f>
        <v>Jul</v>
      </c>
      <c r="E405" s="2" t="s">
        <v>36</v>
      </c>
      <c r="F405" s="2" t="str">
        <f>INDEX(IndiGo_Flight_Data!$R$2:$R$11,MATCH(Table1_1[[#This Row],[Route]],_xlfn.ANCHORARRAY(IndiGo_Flight_Data!$Q$2),0))</f>
        <v>Delhi - Bombay</v>
      </c>
      <c r="G405" s="2" t="s">
        <v>17</v>
      </c>
      <c r="H405">
        <v>52</v>
      </c>
      <c r="I405">
        <v>78</v>
      </c>
      <c r="J405">
        <f>Table1_1[[#This Row],[Seat_Capacity]]-Table1_1[[#This Row],[Passengers]]</f>
        <v>26</v>
      </c>
      <c r="K405">
        <v>66.67</v>
      </c>
      <c r="L405" t="str" cm="1">
        <f t="array" ref="L405">_xlfn.IFS(Table1_1[[#This Row],[Load_Factor_%]]&lt;60,"Low",Table1_1[[#This Row],[Load_Factor_%]]&lt;85,"Intermediate",Table1_1[[#This Row],[Load_Factor_%]]&gt;=85,"High")</f>
        <v>Intermediate</v>
      </c>
      <c r="M405" s="4">
        <v>224766</v>
      </c>
      <c r="N405" s="4">
        <v>78421</v>
      </c>
      <c r="O405" s="4">
        <f>SUM(Table1_1[[#This Row],[Ticket_Revenue_INR]:[Cargo_Revenue_INR]])</f>
        <v>303187</v>
      </c>
      <c r="P405" s="4">
        <v>995587</v>
      </c>
      <c r="Q405" s="4">
        <v>1322600</v>
      </c>
      <c r="R405" s="4">
        <f>SUM(Table1_1[[#This Row],[Fuel_Cost_INR]:[Operating_Cost_INR]])</f>
        <v>2318187</v>
      </c>
      <c r="S405" s="4">
        <f>Table1_1[[#This Row],[Total_Revenue]]-Table1_1[[#This Row],[Total_Cost]]</f>
        <v>-2015000</v>
      </c>
      <c r="T405" s="9">
        <f>(Table1_1[[#This Row],[Total_Profit]]/Table1_1[[#This Row],[Total_Revenue]])</f>
        <v>-6.6460633206568884</v>
      </c>
      <c r="U405" s="5">
        <v>61</v>
      </c>
      <c r="V405" s="6" t="s">
        <v>18</v>
      </c>
      <c r="W405" s="8">
        <v>4.4000000000000004</v>
      </c>
      <c r="X405" t="str" cm="1">
        <f t="array" ref="X405">_xlfn.IFS(Table1_1[[#This Row],[Customer_Rating]]&lt;3,"Poor",Table1_1[[#This Row],[Customer_Rating]]&lt;4,"Good",Table1_1[[#This Row],[Customer_Rating]]&gt;=4,"Excellent")</f>
        <v>Excellent</v>
      </c>
    </row>
    <row r="406" spans="1:24" x14ac:dyDescent="0.35">
      <c r="A406" s="2" t="s">
        <v>680</v>
      </c>
      <c r="B406" s="3">
        <v>45708</v>
      </c>
      <c r="C406" s="3" t="str">
        <f>TEXT(Table1_1[[#This Row],[Date]],"YYYY")</f>
        <v>2025</v>
      </c>
      <c r="D406" s="3" t="str">
        <f>TEXT(Table1_1[[#This Row],[Date]],"mmm")</f>
        <v>Feb</v>
      </c>
      <c r="E406" s="2" t="s">
        <v>117</v>
      </c>
      <c r="F406" s="2" t="str">
        <f>INDEX(IndiGo_Flight_Data!$R$2:$R$11,MATCH(Table1_1[[#This Row],[Route]],_xlfn.ANCHORARRAY(IndiGo_Flight_Data!$Q$2),0))</f>
        <v>Bengaluru - Calacatta</v>
      </c>
      <c r="G406" s="2" t="s">
        <v>43</v>
      </c>
      <c r="H406">
        <v>165</v>
      </c>
      <c r="I406">
        <v>232</v>
      </c>
      <c r="J406">
        <f>Table1_1[[#This Row],[Seat_Capacity]]-Table1_1[[#This Row],[Passengers]]</f>
        <v>67</v>
      </c>
      <c r="K406">
        <v>71.12</v>
      </c>
      <c r="L406" t="str" cm="1">
        <f t="array" ref="L406">_xlfn.IFS(Table1_1[[#This Row],[Load_Factor_%]]&lt;60,"Low",Table1_1[[#This Row],[Load_Factor_%]]&lt;85,"Intermediate",Table1_1[[#This Row],[Load_Factor_%]]&gt;=85,"High")</f>
        <v>Intermediate</v>
      </c>
      <c r="M406" s="4">
        <v>625434</v>
      </c>
      <c r="N406" s="4">
        <v>139019</v>
      </c>
      <c r="O406" s="4">
        <f>SUM(Table1_1[[#This Row],[Ticket_Revenue_INR]:[Cargo_Revenue_INR]])</f>
        <v>764453</v>
      </c>
      <c r="P406" s="4">
        <v>662201</v>
      </c>
      <c r="Q406" s="4">
        <v>988380</v>
      </c>
      <c r="R406" s="4">
        <f>SUM(Table1_1[[#This Row],[Fuel_Cost_INR]:[Operating_Cost_INR]])</f>
        <v>1650581</v>
      </c>
      <c r="S406" s="4">
        <f>Table1_1[[#This Row],[Total_Revenue]]-Table1_1[[#This Row],[Total_Cost]]</f>
        <v>-886128</v>
      </c>
      <c r="T406" s="9">
        <f>(Table1_1[[#This Row],[Total_Profit]]/Table1_1[[#This Row],[Total_Revenue]])</f>
        <v>-1.1591660965422335</v>
      </c>
      <c r="U406" s="5">
        <v>73</v>
      </c>
      <c r="V406" s="6" t="s">
        <v>18</v>
      </c>
      <c r="W406" s="8">
        <v>3.7</v>
      </c>
      <c r="X406" t="str" cm="1">
        <f t="array" ref="X406">_xlfn.IFS(Table1_1[[#This Row],[Customer_Rating]]&lt;3,"Poor",Table1_1[[#This Row],[Customer_Rating]]&lt;4,"Good",Table1_1[[#This Row],[Customer_Rating]]&gt;=4,"Excellent")</f>
        <v>Good</v>
      </c>
    </row>
    <row r="407" spans="1:24" x14ac:dyDescent="0.35">
      <c r="A407" s="2" t="s">
        <v>681</v>
      </c>
      <c r="B407" s="3">
        <v>46019</v>
      </c>
      <c r="C407" s="3" t="str">
        <f>TEXT(Table1_1[[#This Row],[Date]],"YYYY")</f>
        <v>2025</v>
      </c>
      <c r="D407" s="3" t="str">
        <f>TEXT(Table1_1[[#This Row],[Date]],"mmm")</f>
        <v>Dec</v>
      </c>
      <c r="E407" s="2" t="s">
        <v>117</v>
      </c>
      <c r="F407" s="2" t="str">
        <f>INDEX(IndiGo_Flight_Data!$R$2:$R$11,MATCH(Table1_1[[#This Row],[Route]],_xlfn.ANCHORARRAY(IndiGo_Flight_Data!$Q$2),0))</f>
        <v>Bengaluru - Calacatta</v>
      </c>
      <c r="G407" s="2" t="s">
        <v>24</v>
      </c>
      <c r="H407">
        <v>108</v>
      </c>
      <c r="I407">
        <v>180</v>
      </c>
      <c r="J407">
        <f>Table1_1[[#This Row],[Seat_Capacity]]-Table1_1[[#This Row],[Passengers]]</f>
        <v>72</v>
      </c>
      <c r="K407">
        <v>60</v>
      </c>
      <c r="L407" t="str" cm="1">
        <f t="array" ref="L407">_xlfn.IFS(Table1_1[[#This Row],[Load_Factor_%]]&lt;60,"Low",Table1_1[[#This Row],[Load_Factor_%]]&lt;85,"Intermediate",Table1_1[[#This Row],[Load_Factor_%]]&gt;=85,"High")</f>
        <v>Intermediate</v>
      </c>
      <c r="M407" s="4">
        <v>408406</v>
      </c>
      <c r="N407" s="4">
        <v>113913</v>
      </c>
      <c r="O407" s="4">
        <f>SUM(Table1_1[[#This Row],[Ticket_Revenue_INR]:[Cargo_Revenue_INR]])</f>
        <v>522319</v>
      </c>
      <c r="P407" s="4">
        <v>786282</v>
      </c>
      <c r="Q407" s="4">
        <v>1046216</v>
      </c>
      <c r="R407" s="4">
        <f>SUM(Table1_1[[#This Row],[Fuel_Cost_INR]:[Operating_Cost_INR]])</f>
        <v>1832498</v>
      </c>
      <c r="S407" s="4">
        <f>Table1_1[[#This Row],[Total_Revenue]]-Table1_1[[#This Row],[Total_Cost]]</f>
        <v>-1310179</v>
      </c>
      <c r="T407" s="9">
        <f>(Table1_1[[#This Row],[Total_Profit]]/Table1_1[[#This Row],[Total_Revenue]])</f>
        <v>-2.5083885518236939</v>
      </c>
      <c r="U407" s="5">
        <v>61</v>
      </c>
      <c r="V407" s="6" t="s">
        <v>18</v>
      </c>
      <c r="W407" s="8">
        <v>4.0999999999999996</v>
      </c>
      <c r="X407" t="str" cm="1">
        <f t="array" ref="X407">_xlfn.IFS(Table1_1[[#This Row],[Customer_Rating]]&lt;3,"Poor",Table1_1[[#This Row],[Customer_Rating]]&lt;4,"Good",Table1_1[[#This Row],[Customer_Rating]]&gt;=4,"Excellent")</f>
        <v>Excellent</v>
      </c>
    </row>
    <row r="408" spans="1:24" x14ac:dyDescent="0.35">
      <c r="A408" s="2" t="s">
        <v>683</v>
      </c>
      <c r="B408" s="3">
        <v>45916</v>
      </c>
      <c r="C408" s="3" t="str">
        <f>TEXT(Table1_1[[#This Row],[Date]],"YYYY")</f>
        <v>2025</v>
      </c>
      <c r="D408" s="3" t="str">
        <f>TEXT(Table1_1[[#This Row],[Date]],"mmm")</f>
        <v>Sep</v>
      </c>
      <c r="E408" s="2" t="s">
        <v>36</v>
      </c>
      <c r="F408" s="2" t="str">
        <f>INDEX(IndiGo_Flight_Data!$R$2:$R$11,MATCH(Table1_1[[#This Row],[Route]],_xlfn.ANCHORARRAY(IndiGo_Flight_Data!$Q$2),0))</f>
        <v>Delhi - Bombay</v>
      </c>
      <c r="G408" s="2" t="s">
        <v>17</v>
      </c>
      <c r="H408">
        <v>51</v>
      </c>
      <c r="I408">
        <v>78</v>
      </c>
      <c r="J408">
        <f>Table1_1[[#This Row],[Seat_Capacity]]-Table1_1[[#This Row],[Passengers]]</f>
        <v>27</v>
      </c>
      <c r="K408">
        <v>65.38</v>
      </c>
      <c r="L408" t="str" cm="1">
        <f t="array" ref="L408">_xlfn.IFS(Table1_1[[#This Row],[Load_Factor_%]]&lt;60,"Low",Table1_1[[#This Row],[Load_Factor_%]]&lt;85,"Intermediate",Table1_1[[#This Row],[Load_Factor_%]]&gt;=85,"High")</f>
        <v>Intermediate</v>
      </c>
      <c r="M408" s="4">
        <v>221814</v>
      </c>
      <c r="N408" s="4">
        <v>84650</v>
      </c>
      <c r="O408" s="4">
        <f>SUM(Table1_1[[#This Row],[Ticket_Revenue_INR]:[Cargo_Revenue_INR]])</f>
        <v>306464</v>
      </c>
      <c r="P408" s="4">
        <v>1190709</v>
      </c>
      <c r="Q408" s="4">
        <v>1719332</v>
      </c>
      <c r="R408" s="4">
        <f>SUM(Table1_1[[#This Row],[Fuel_Cost_INR]:[Operating_Cost_INR]])</f>
        <v>2910041</v>
      </c>
      <c r="S408" s="4">
        <f>Table1_1[[#This Row],[Total_Revenue]]-Table1_1[[#This Row],[Total_Cost]]</f>
        <v>-2603577</v>
      </c>
      <c r="T408" s="9">
        <f>(Table1_1[[#This Row],[Total_Profit]]/Table1_1[[#This Row],[Total_Revenue]])</f>
        <v>-8.495539443458286</v>
      </c>
      <c r="U408" s="5">
        <v>16</v>
      </c>
      <c r="V408" s="6" t="s">
        <v>18</v>
      </c>
      <c r="W408" s="8">
        <v>3.3</v>
      </c>
      <c r="X408" t="str" cm="1">
        <f t="array" ref="X408">_xlfn.IFS(Table1_1[[#This Row],[Customer_Rating]]&lt;3,"Poor",Table1_1[[#This Row],[Customer_Rating]]&lt;4,"Good",Table1_1[[#This Row],[Customer_Rating]]&gt;=4,"Excellent")</f>
        <v>Good</v>
      </c>
    </row>
    <row r="409" spans="1:24" x14ac:dyDescent="0.35">
      <c r="A409" s="2" t="s">
        <v>684</v>
      </c>
      <c r="B409" s="3">
        <v>46015</v>
      </c>
      <c r="C409" s="3" t="str">
        <f>TEXT(Table1_1[[#This Row],[Date]],"YYYY")</f>
        <v>2025</v>
      </c>
      <c r="D409" s="3" t="str">
        <f>TEXT(Table1_1[[#This Row],[Date]],"mmm")</f>
        <v>Dec</v>
      </c>
      <c r="E409" s="2" t="s">
        <v>36</v>
      </c>
      <c r="F409" s="2" t="str">
        <f>INDEX(IndiGo_Flight_Data!$R$2:$R$11,MATCH(Table1_1[[#This Row],[Route]],_xlfn.ANCHORARRAY(IndiGo_Flight_Data!$Q$2),0))</f>
        <v>Delhi - Bombay</v>
      </c>
      <c r="G409" s="2" t="s">
        <v>17</v>
      </c>
      <c r="H409">
        <v>49</v>
      </c>
      <c r="I409">
        <v>78</v>
      </c>
      <c r="J409">
        <f>Table1_1[[#This Row],[Seat_Capacity]]-Table1_1[[#This Row],[Passengers]]</f>
        <v>29</v>
      </c>
      <c r="K409">
        <v>62.82</v>
      </c>
      <c r="L409" t="str" cm="1">
        <f t="array" ref="L409">_xlfn.IFS(Table1_1[[#This Row],[Load_Factor_%]]&lt;60,"Low",Table1_1[[#This Row],[Load_Factor_%]]&lt;85,"Intermediate",Table1_1[[#This Row],[Load_Factor_%]]&gt;=85,"High")</f>
        <v>Intermediate</v>
      </c>
      <c r="M409" s="4">
        <v>221171</v>
      </c>
      <c r="N409" s="4">
        <v>88101</v>
      </c>
      <c r="O409" s="4">
        <f>SUM(Table1_1[[#This Row],[Ticket_Revenue_INR]:[Cargo_Revenue_INR]])</f>
        <v>309272</v>
      </c>
      <c r="P409" s="4">
        <v>641447</v>
      </c>
      <c r="Q409" s="4">
        <v>1055522</v>
      </c>
      <c r="R409" s="4">
        <f>SUM(Table1_1[[#This Row],[Fuel_Cost_INR]:[Operating_Cost_INR]])</f>
        <v>1696969</v>
      </c>
      <c r="S409" s="4">
        <f>Table1_1[[#This Row],[Total_Revenue]]-Table1_1[[#This Row],[Total_Cost]]</f>
        <v>-1387697</v>
      </c>
      <c r="T409" s="9">
        <f>(Table1_1[[#This Row],[Total_Profit]]/Table1_1[[#This Row],[Total_Revenue]])</f>
        <v>-4.4869790993041727</v>
      </c>
      <c r="U409" s="5">
        <v>36</v>
      </c>
      <c r="V409" s="6" t="s">
        <v>18</v>
      </c>
      <c r="W409" s="8">
        <v>3.6</v>
      </c>
      <c r="X409" t="str" cm="1">
        <f t="array" ref="X409">_xlfn.IFS(Table1_1[[#This Row],[Customer_Rating]]&lt;3,"Poor",Table1_1[[#This Row],[Customer_Rating]]&lt;4,"Good",Table1_1[[#This Row],[Customer_Rating]]&gt;=4,"Excellent")</f>
        <v>Good</v>
      </c>
    </row>
    <row r="410" spans="1:24" x14ac:dyDescent="0.35">
      <c r="A410" s="2" t="s">
        <v>685</v>
      </c>
      <c r="B410" s="3">
        <v>45786</v>
      </c>
      <c r="C410" s="3" t="str">
        <f>TEXT(Table1_1[[#This Row],[Date]],"YYYY")</f>
        <v>2025</v>
      </c>
      <c r="D410" s="3" t="str">
        <f>TEXT(Table1_1[[#This Row],[Date]],"mmm")</f>
        <v>May</v>
      </c>
      <c r="E410" s="2" t="s">
        <v>16</v>
      </c>
      <c r="F410" s="2" t="str">
        <f>INDEX(IndiGo_Flight_Data!$R$2:$R$11,MATCH(Table1_1[[#This Row],[Route]],_xlfn.ANCHORARRAY(IndiGo_Flight_Data!$Q$2),0))</f>
        <v>Delhi - Goa</v>
      </c>
      <c r="G410" s="2" t="s">
        <v>24</v>
      </c>
      <c r="H410">
        <v>144</v>
      </c>
      <c r="I410">
        <v>180</v>
      </c>
      <c r="J410">
        <f>Table1_1[[#This Row],[Seat_Capacity]]-Table1_1[[#This Row],[Passengers]]</f>
        <v>36</v>
      </c>
      <c r="K410">
        <v>80</v>
      </c>
      <c r="L410" t="str" cm="1">
        <f t="array" ref="L410">_xlfn.IFS(Table1_1[[#This Row],[Load_Factor_%]]&lt;60,"Low",Table1_1[[#This Row],[Load_Factor_%]]&lt;85,"Intermediate",Table1_1[[#This Row],[Load_Factor_%]]&gt;=85,"High")</f>
        <v>Intermediate</v>
      </c>
      <c r="M410" s="4">
        <v>1229852</v>
      </c>
      <c r="N410" s="4">
        <v>31879</v>
      </c>
      <c r="O410" s="4">
        <f>SUM(Table1_1[[#This Row],[Ticket_Revenue_INR]:[Cargo_Revenue_INR]])</f>
        <v>1261731</v>
      </c>
      <c r="P410" s="4">
        <v>1018152</v>
      </c>
      <c r="Q410" s="4">
        <v>1533989</v>
      </c>
      <c r="R410" s="4">
        <f>SUM(Table1_1[[#This Row],[Fuel_Cost_INR]:[Operating_Cost_INR]])</f>
        <v>2552141</v>
      </c>
      <c r="S410" s="4">
        <f>Table1_1[[#This Row],[Total_Revenue]]-Table1_1[[#This Row],[Total_Cost]]</f>
        <v>-1290410</v>
      </c>
      <c r="T410" s="9">
        <f>(Table1_1[[#This Row],[Total_Profit]]/Table1_1[[#This Row],[Total_Revenue]])</f>
        <v>-1.0227298845792012</v>
      </c>
      <c r="U410" s="5">
        <v>50</v>
      </c>
      <c r="V410" s="6" t="s">
        <v>18</v>
      </c>
      <c r="W410" s="8">
        <v>4.7</v>
      </c>
      <c r="X410" t="str" cm="1">
        <f t="array" ref="X410">_xlfn.IFS(Table1_1[[#This Row],[Customer_Rating]]&lt;3,"Poor",Table1_1[[#This Row],[Customer_Rating]]&lt;4,"Good",Table1_1[[#This Row],[Customer_Rating]]&gt;=4,"Excellent")</f>
        <v>Excellent</v>
      </c>
    </row>
    <row r="411" spans="1:24" x14ac:dyDescent="0.35">
      <c r="A411" s="2" t="s">
        <v>686</v>
      </c>
      <c r="B411" s="3">
        <v>45787</v>
      </c>
      <c r="C411" s="3" t="str">
        <f>TEXT(Table1_1[[#This Row],[Date]],"YYYY")</f>
        <v>2025</v>
      </c>
      <c r="D411" s="3" t="str">
        <f>TEXT(Table1_1[[#This Row],[Date]],"mmm")</f>
        <v>May</v>
      </c>
      <c r="E411" s="2" t="s">
        <v>59</v>
      </c>
      <c r="F411" s="2" t="str">
        <f>INDEX(IndiGo_Flight_Data!$R$2:$R$11,MATCH(Table1_1[[#This Row],[Route]],_xlfn.ANCHORARRAY(IndiGo_Flight_Data!$Q$2),0))</f>
        <v>Bengaluru - Bombay</v>
      </c>
      <c r="G411" s="2" t="s">
        <v>17</v>
      </c>
      <c r="H411">
        <v>70</v>
      </c>
      <c r="I411">
        <v>78</v>
      </c>
      <c r="J411">
        <f>Table1_1[[#This Row],[Seat_Capacity]]-Table1_1[[#This Row],[Passengers]]</f>
        <v>8</v>
      </c>
      <c r="K411">
        <v>89.74</v>
      </c>
      <c r="L411" t="str" cm="1">
        <f t="array" ref="L411">_xlfn.IFS(Table1_1[[#This Row],[Load_Factor_%]]&lt;60,"Low",Table1_1[[#This Row],[Load_Factor_%]]&lt;85,"Intermediate",Table1_1[[#This Row],[Load_Factor_%]]&gt;=85,"High")</f>
        <v>High</v>
      </c>
      <c r="M411" s="4">
        <v>550149</v>
      </c>
      <c r="N411" s="4">
        <v>77320</v>
      </c>
      <c r="O411" s="4">
        <f>SUM(Table1_1[[#This Row],[Ticket_Revenue_INR]:[Cargo_Revenue_INR]])</f>
        <v>627469</v>
      </c>
      <c r="P411" s="4">
        <v>724318</v>
      </c>
      <c r="Q411" s="4">
        <v>1227830</v>
      </c>
      <c r="R411" s="4">
        <f>SUM(Table1_1[[#This Row],[Fuel_Cost_INR]:[Operating_Cost_INR]])</f>
        <v>1952148</v>
      </c>
      <c r="S411" s="4">
        <f>Table1_1[[#This Row],[Total_Revenue]]-Table1_1[[#This Row],[Total_Cost]]</f>
        <v>-1324679</v>
      </c>
      <c r="T411" s="9">
        <f>(Table1_1[[#This Row],[Total_Profit]]/Table1_1[[#This Row],[Total_Revenue]])</f>
        <v>-2.1111465267606846</v>
      </c>
      <c r="U411" s="5">
        <v>18</v>
      </c>
      <c r="V411" s="6" t="s">
        <v>18</v>
      </c>
      <c r="W411" s="8">
        <v>4.4000000000000004</v>
      </c>
      <c r="X411" t="str" cm="1">
        <f t="array" ref="X411">_xlfn.IFS(Table1_1[[#This Row],[Customer_Rating]]&lt;3,"Poor",Table1_1[[#This Row],[Customer_Rating]]&lt;4,"Good",Table1_1[[#This Row],[Customer_Rating]]&gt;=4,"Excellent")</f>
        <v>Excellent</v>
      </c>
    </row>
    <row r="412" spans="1:24" x14ac:dyDescent="0.35">
      <c r="A412" s="2" t="s">
        <v>688</v>
      </c>
      <c r="B412" s="3">
        <v>45740</v>
      </c>
      <c r="C412" s="3" t="str">
        <f>TEXT(Table1_1[[#This Row],[Date]],"YYYY")</f>
        <v>2025</v>
      </c>
      <c r="D412" s="3" t="str">
        <f>TEXT(Table1_1[[#This Row],[Date]],"mmm")</f>
        <v>Mar</v>
      </c>
      <c r="E412" s="2" t="s">
        <v>36</v>
      </c>
      <c r="F412" s="2" t="str">
        <f>INDEX(IndiGo_Flight_Data!$R$2:$R$11,MATCH(Table1_1[[#This Row],[Route]],_xlfn.ANCHORARRAY(IndiGo_Flight_Data!$Q$2),0))</f>
        <v>Delhi - Bombay</v>
      </c>
      <c r="G412" s="2" t="s">
        <v>24</v>
      </c>
      <c r="H412">
        <v>124</v>
      </c>
      <c r="I412">
        <v>180</v>
      </c>
      <c r="J412">
        <f>Table1_1[[#This Row],[Seat_Capacity]]-Table1_1[[#This Row],[Passengers]]</f>
        <v>56</v>
      </c>
      <c r="K412">
        <v>68.89</v>
      </c>
      <c r="L412" t="str" cm="1">
        <f t="array" ref="L412">_xlfn.IFS(Table1_1[[#This Row],[Load_Factor_%]]&lt;60,"Low",Table1_1[[#This Row],[Load_Factor_%]]&lt;85,"Intermediate",Table1_1[[#This Row],[Load_Factor_%]]&gt;=85,"High")</f>
        <v>Intermediate</v>
      </c>
      <c r="M412" s="4">
        <v>917492</v>
      </c>
      <c r="N412" s="4">
        <v>111089</v>
      </c>
      <c r="O412" s="4">
        <f>SUM(Table1_1[[#This Row],[Ticket_Revenue_INR]:[Cargo_Revenue_INR]])</f>
        <v>1028581</v>
      </c>
      <c r="P412" s="4">
        <v>1068411</v>
      </c>
      <c r="Q412" s="4">
        <v>1308436</v>
      </c>
      <c r="R412" s="4">
        <f>SUM(Table1_1[[#This Row],[Fuel_Cost_INR]:[Operating_Cost_INR]])</f>
        <v>2376847</v>
      </c>
      <c r="S412" s="4">
        <f>Table1_1[[#This Row],[Total_Revenue]]-Table1_1[[#This Row],[Total_Cost]]</f>
        <v>-1348266</v>
      </c>
      <c r="T412" s="9">
        <f>(Table1_1[[#This Row],[Total_Profit]]/Table1_1[[#This Row],[Total_Revenue]])</f>
        <v>-1.3108019689261226</v>
      </c>
      <c r="U412" s="5">
        <v>81</v>
      </c>
      <c r="V412" s="6" t="s">
        <v>18</v>
      </c>
      <c r="W412" s="8">
        <v>4.7</v>
      </c>
      <c r="X412" t="str" cm="1">
        <f t="array" ref="X412">_xlfn.IFS(Table1_1[[#This Row],[Customer_Rating]]&lt;3,"Poor",Table1_1[[#This Row],[Customer_Rating]]&lt;4,"Good",Table1_1[[#This Row],[Customer_Rating]]&gt;=4,"Excellent")</f>
        <v>Excellent</v>
      </c>
    </row>
    <row r="413" spans="1:24" x14ac:dyDescent="0.35">
      <c r="A413" s="2" t="s">
        <v>690</v>
      </c>
      <c r="B413" s="3">
        <v>45960</v>
      </c>
      <c r="C413" s="3" t="str">
        <f>TEXT(Table1_1[[#This Row],[Date]],"YYYY")</f>
        <v>2025</v>
      </c>
      <c r="D413" s="3" t="str">
        <f>TEXT(Table1_1[[#This Row],[Date]],"mmm")</f>
        <v>Oct</v>
      </c>
      <c r="E413" s="2" t="s">
        <v>36</v>
      </c>
      <c r="F413" s="2" t="str">
        <f>INDEX(IndiGo_Flight_Data!$R$2:$R$11,MATCH(Table1_1[[#This Row],[Route]],_xlfn.ANCHORARRAY(IndiGo_Flight_Data!$Q$2),0))</f>
        <v>Delhi - Bombay</v>
      </c>
      <c r="G413" s="2" t="s">
        <v>24</v>
      </c>
      <c r="H413">
        <v>114</v>
      </c>
      <c r="I413">
        <v>180</v>
      </c>
      <c r="J413">
        <f>Table1_1[[#This Row],[Seat_Capacity]]-Table1_1[[#This Row],[Passengers]]</f>
        <v>66</v>
      </c>
      <c r="K413">
        <v>63.33</v>
      </c>
      <c r="L413" t="str" cm="1">
        <f t="array" ref="L413">_xlfn.IFS(Table1_1[[#This Row],[Load_Factor_%]]&lt;60,"Low",Table1_1[[#This Row],[Load_Factor_%]]&lt;85,"Intermediate",Table1_1[[#This Row],[Load_Factor_%]]&gt;=85,"High")</f>
        <v>Intermediate</v>
      </c>
      <c r="M413" s="4">
        <v>442539</v>
      </c>
      <c r="N413" s="4">
        <v>124351</v>
      </c>
      <c r="O413" s="4">
        <f>SUM(Table1_1[[#This Row],[Ticket_Revenue_INR]:[Cargo_Revenue_INR]])</f>
        <v>566890</v>
      </c>
      <c r="P413" s="4">
        <v>406464</v>
      </c>
      <c r="Q413" s="4">
        <v>1004881</v>
      </c>
      <c r="R413" s="4">
        <f>SUM(Table1_1[[#This Row],[Fuel_Cost_INR]:[Operating_Cost_INR]])</f>
        <v>1411345</v>
      </c>
      <c r="S413" s="4">
        <f>Table1_1[[#This Row],[Total_Revenue]]-Table1_1[[#This Row],[Total_Cost]]</f>
        <v>-844455</v>
      </c>
      <c r="T413" s="9">
        <f>(Table1_1[[#This Row],[Total_Profit]]/Table1_1[[#This Row],[Total_Revenue]])</f>
        <v>-1.4896276173508087</v>
      </c>
      <c r="U413" s="5">
        <v>46</v>
      </c>
      <c r="V413" s="6" t="s">
        <v>18</v>
      </c>
      <c r="W413" s="8">
        <v>3.6</v>
      </c>
      <c r="X413" t="str" cm="1">
        <f t="array" ref="X413">_xlfn.IFS(Table1_1[[#This Row],[Customer_Rating]]&lt;3,"Poor",Table1_1[[#This Row],[Customer_Rating]]&lt;4,"Good",Table1_1[[#This Row],[Customer_Rating]]&gt;=4,"Excellent")</f>
        <v>Good</v>
      </c>
    </row>
    <row r="414" spans="1:24" x14ac:dyDescent="0.35">
      <c r="A414" s="2" t="s">
        <v>692</v>
      </c>
      <c r="B414" s="3">
        <v>45940</v>
      </c>
      <c r="C414" s="3" t="str">
        <f>TEXT(Table1_1[[#This Row],[Date]],"YYYY")</f>
        <v>2025</v>
      </c>
      <c r="D414" s="3" t="str">
        <f>TEXT(Table1_1[[#This Row],[Date]],"mmm")</f>
        <v>Oct</v>
      </c>
      <c r="E414" s="2" t="s">
        <v>39</v>
      </c>
      <c r="F414" s="2" t="str">
        <f>INDEX(IndiGo_Flight_Data!$R$2:$R$11,MATCH(Table1_1[[#This Row],[Route]],_xlfn.ANCHORARRAY(IndiGo_Flight_Data!$Q$2),0))</f>
        <v>Bengaluru - Delhi</v>
      </c>
      <c r="G414" s="2" t="s">
        <v>24</v>
      </c>
      <c r="H414">
        <v>133</v>
      </c>
      <c r="I414">
        <v>180</v>
      </c>
      <c r="J414">
        <f>Table1_1[[#This Row],[Seat_Capacity]]-Table1_1[[#This Row],[Passengers]]</f>
        <v>47</v>
      </c>
      <c r="K414">
        <v>73.89</v>
      </c>
      <c r="L414" t="str" cm="1">
        <f t="array" ref="L414">_xlfn.IFS(Table1_1[[#This Row],[Load_Factor_%]]&lt;60,"Low",Table1_1[[#This Row],[Load_Factor_%]]&lt;85,"Intermediate",Table1_1[[#This Row],[Load_Factor_%]]&gt;=85,"High")</f>
        <v>Intermediate</v>
      </c>
      <c r="M414" s="4">
        <v>665265</v>
      </c>
      <c r="N414" s="4">
        <v>26982</v>
      </c>
      <c r="O414" s="4">
        <f>SUM(Table1_1[[#This Row],[Ticket_Revenue_INR]:[Cargo_Revenue_INR]])</f>
        <v>692247</v>
      </c>
      <c r="P414" s="4">
        <v>779446</v>
      </c>
      <c r="Q414" s="4">
        <v>1196667</v>
      </c>
      <c r="R414" s="4">
        <f>SUM(Table1_1[[#This Row],[Fuel_Cost_INR]:[Operating_Cost_INR]])</f>
        <v>1976113</v>
      </c>
      <c r="S414" s="4">
        <f>Table1_1[[#This Row],[Total_Revenue]]-Table1_1[[#This Row],[Total_Cost]]</f>
        <v>-1283866</v>
      </c>
      <c r="T414" s="9">
        <f>(Table1_1[[#This Row],[Total_Profit]]/Table1_1[[#This Row],[Total_Revenue]])</f>
        <v>-1.8546357008408849</v>
      </c>
      <c r="U414" s="5">
        <v>6</v>
      </c>
      <c r="V414" s="6" t="s">
        <v>33</v>
      </c>
      <c r="W414" s="8">
        <v>3.6</v>
      </c>
      <c r="X414" t="str" cm="1">
        <f t="array" ref="X414">_xlfn.IFS(Table1_1[[#This Row],[Customer_Rating]]&lt;3,"Poor",Table1_1[[#This Row],[Customer_Rating]]&lt;4,"Good",Table1_1[[#This Row],[Customer_Rating]]&gt;=4,"Excellent")</f>
        <v>Good</v>
      </c>
    </row>
    <row r="415" spans="1:24" x14ac:dyDescent="0.35">
      <c r="A415" s="2" t="s">
        <v>693</v>
      </c>
      <c r="B415" s="3">
        <v>45869</v>
      </c>
      <c r="C415" s="3" t="str">
        <f>TEXT(Table1_1[[#This Row],[Date]],"YYYY")</f>
        <v>2025</v>
      </c>
      <c r="D415" s="3" t="str">
        <f>TEXT(Table1_1[[#This Row],[Date]],"mmm")</f>
        <v>Jul</v>
      </c>
      <c r="E415" s="2" t="s">
        <v>76</v>
      </c>
      <c r="F415" s="2" t="str">
        <f>INDEX(IndiGo_Flight_Data!$R$2:$R$11,MATCH(Table1_1[[#This Row],[Route]],_xlfn.ANCHORARRAY(IndiGo_Flight_Data!$Q$2),0))</f>
        <v>Madras - Delhi</v>
      </c>
      <c r="G415" s="2" t="s">
        <v>43</v>
      </c>
      <c r="H415">
        <v>141</v>
      </c>
      <c r="I415">
        <v>232</v>
      </c>
      <c r="J415">
        <f>Table1_1[[#This Row],[Seat_Capacity]]-Table1_1[[#This Row],[Passengers]]</f>
        <v>91</v>
      </c>
      <c r="K415">
        <v>60.78</v>
      </c>
      <c r="L415" t="str" cm="1">
        <f t="array" ref="L415">_xlfn.IFS(Table1_1[[#This Row],[Load_Factor_%]]&lt;60,"Low",Table1_1[[#This Row],[Load_Factor_%]]&lt;85,"Intermediate",Table1_1[[#This Row],[Load_Factor_%]]&gt;=85,"High")</f>
        <v>Intermediate</v>
      </c>
      <c r="M415" s="4">
        <v>1160778</v>
      </c>
      <c r="N415" s="4">
        <v>107529</v>
      </c>
      <c r="O415" s="4">
        <f>SUM(Table1_1[[#This Row],[Ticket_Revenue_INR]:[Cargo_Revenue_INR]])</f>
        <v>1268307</v>
      </c>
      <c r="P415" s="4">
        <v>1063419</v>
      </c>
      <c r="Q415" s="4">
        <v>1571624</v>
      </c>
      <c r="R415" s="4">
        <f>SUM(Table1_1[[#This Row],[Fuel_Cost_INR]:[Operating_Cost_INR]])</f>
        <v>2635043</v>
      </c>
      <c r="S415" s="4">
        <f>Table1_1[[#This Row],[Total_Revenue]]-Table1_1[[#This Row],[Total_Cost]]</f>
        <v>-1366736</v>
      </c>
      <c r="T415" s="9">
        <f>(Table1_1[[#This Row],[Total_Profit]]/Table1_1[[#This Row],[Total_Revenue]])</f>
        <v>-1.0776066047100583</v>
      </c>
      <c r="U415" s="5">
        <v>4</v>
      </c>
      <c r="V415" s="6" t="s">
        <v>33</v>
      </c>
      <c r="W415" s="8">
        <v>3.3</v>
      </c>
      <c r="X415" t="str" cm="1">
        <f t="array" ref="X415">_xlfn.IFS(Table1_1[[#This Row],[Customer_Rating]]&lt;3,"Poor",Table1_1[[#This Row],[Customer_Rating]]&lt;4,"Good",Table1_1[[#This Row],[Customer_Rating]]&gt;=4,"Excellent")</f>
        <v>Good</v>
      </c>
    </row>
    <row r="416" spans="1:24" x14ac:dyDescent="0.35">
      <c r="A416" s="2" t="s">
        <v>695</v>
      </c>
      <c r="B416" s="3">
        <v>45891</v>
      </c>
      <c r="C416" s="3" t="str">
        <f>TEXT(Table1_1[[#This Row],[Date]],"YYYY")</f>
        <v>2025</v>
      </c>
      <c r="D416" s="3" t="str">
        <f>TEXT(Table1_1[[#This Row],[Date]],"mmm")</f>
        <v>Aug</v>
      </c>
      <c r="E416" s="2" t="s">
        <v>29</v>
      </c>
      <c r="F416" s="2" t="str">
        <f>INDEX(IndiGo_Flight_Data!$R$2:$R$11,MATCH(Table1_1[[#This Row],[Route]],_xlfn.ANCHORARRAY(IndiGo_Flight_Data!$Q$2),0))</f>
        <v>Calacatta - Delhi</v>
      </c>
      <c r="G416" s="2" t="s">
        <v>17</v>
      </c>
      <c r="H416">
        <v>69</v>
      </c>
      <c r="I416">
        <v>78</v>
      </c>
      <c r="J416">
        <f>Table1_1[[#This Row],[Seat_Capacity]]-Table1_1[[#This Row],[Passengers]]</f>
        <v>9</v>
      </c>
      <c r="K416">
        <v>88.46</v>
      </c>
      <c r="L416" t="str" cm="1">
        <f t="array" ref="L416">_xlfn.IFS(Table1_1[[#This Row],[Load_Factor_%]]&lt;60,"Low",Table1_1[[#This Row],[Load_Factor_%]]&lt;85,"Intermediate",Table1_1[[#This Row],[Load_Factor_%]]&gt;=85,"High")</f>
        <v>High</v>
      </c>
      <c r="M416" s="4">
        <v>590635</v>
      </c>
      <c r="N416" s="4">
        <v>27936</v>
      </c>
      <c r="O416" s="4">
        <f>SUM(Table1_1[[#This Row],[Ticket_Revenue_INR]:[Cargo_Revenue_INR]])</f>
        <v>618571</v>
      </c>
      <c r="P416" s="4">
        <v>1123814</v>
      </c>
      <c r="Q416" s="4">
        <v>1596513</v>
      </c>
      <c r="R416" s="4">
        <f>SUM(Table1_1[[#This Row],[Fuel_Cost_INR]:[Operating_Cost_INR]])</f>
        <v>2720327</v>
      </c>
      <c r="S416" s="4">
        <f>Table1_1[[#This Row],[Total_Revenue]]-Table1_1[[#This Row],[Total_Cost]]</f>
        <v>-2101756</v>
      </c>
      <c r="T416" s="9">
        <f>(Table1_1[[#This Row],[Total_Profit]]/Table1_1[[#This Row],[Total_Revenue]])</f>
        <v>-3.397760321773895</v>
      </c>
      <c r="U416" s="5">
        <v>73</v>
      </c>
      <c r="V416" s="6" t="s">
        <v>18</v>
      </c>
      <c r="W416" s="8">
        <v>4.2</v>
      </c>
      <c r="X416" t="str" cm="1">
        <f t="array" ref="X416">_xlfn.IFS(Table1_1[[#This Row],[Customer_Rating]]&lt;3,"Poor",Table1_1[[#This Row],[Customer_Rating]]&lt;4,"Good",Table1_1[[#This Row],[Customer_Rating]]&gt;=4,"Excellent")</f>
        <v>Excellent</v>
      </c>
    </row>
    <row r="417" spans="1:24" x14ac:dyDescent="0.35">
      <c r="A417" s="2" t="s">
        <v>696</v>
      </c>
      <c r="B417" s="3">
        <v>45832</v>
      </c>
      <c r="C417" s="3" t="str">
        <f>TEXT(Table1_1[[#This Row],[Date]],"YYYY")</f>
        <v>2025</v>
      </c>
      <c r="D417" s="3" t="str">
        <f>TEXT(Table1_1[[#This Row],[Date]],"mmm")</f>
        <v>Jun</v>
      </c>
      <c r="E417" s="2" t="s">
        <v>76</v>
      </c>
      <c r="F417" s="2" t="str">
        <f>INDEX(IndiGo_Flight_Data!$R$2:$R$11,MATCH(Table1_1[[#This Row],[Route]],_xlfn.ANCHORARRAY(IndiGo_Flight_Data!$Q$2),0))</f>
        <v>Madras - Delhi</v>
      </c>
      <c r="G417" s="2" t="s">
        <v>24</v>
      </c>
      <c r="H417">
        <v>122</v>
      </c>
      <c r="I417">
        <v>180</v>
      </c>
      <c r="J417">
        <f>Table1_1[[#This Row],[Seat_Capacity]]-Table1_1[[#This Row],[Passengers]]</f>
        <v>58</v>
      </c>
      <c r="K417">
        <v>67.78</v>
      </c>
      <c r="L417" t="str" cm="1">
        <f t="array" ref="L417">_xlfn.IFS(Table1_1[[#This Row],[Load_Factor_%]]&lt;60,"Low",Table1_1[[#This Row],[Load_Factor_%]]&lt;85,"Intermediate",Table1_1[[#This Row],[Load_Factor_%]]&gt;=85,"High")</f>
        <v>Intermediate</v>
      </c>
      <c r="M417" s="4">
        <v>907633</v>
      </c>
      <c r="N417" s="4">
        <v>98208</v>
      </c>
      <c r="O417" s="4">
        <f>SUM(Table1_1[[#This Row],[Ticket_Revenue_INR]:[Cargo_Revenue_INR]])</f>
        <v>1005841</v>
      </c>
      <c r="P417" s="4">
        <v>507286</v>
      </c>
      <c r="Q417" s="4">
        <v>806974</v>
      </c>
      <c r="R417" s="4">
        <f>SUM(Table1_1[[#This Row],[Fuel_Cost_INR]:[Operating_Cost_INR]])</f>
        <v>1314260</v>
      </c>
      <c r="S417" s="4">
        <f>Table1_1[[#This Row],[Total_Revenue]]-Table1_1[[#This Row],[Total_Cost]]</f>
        <v>-308419</v>
      </c>
      <c r="T417" s="9">
        <f>(Table1_1[[#This Row],[Total_Profit]]/Table1_1[[#This Row],[Total_Revenue]])</f>
        <v>-0.30662798593415858</v>
      </c>
      <c r="U417" s="5">
        <v>38</v>
      </c>
      <c r="V417" s="6" t="s">
        <v>18</v>
      </c>
      <c r="W417" s="8">
        <v>3.4</v>
      </c>
      <c r="X417" t="str" cm="1">
        <f t="array" ref="X417">_xlfn.IFS(Table1_1[[#This Row],[Customer_Rating]]&lt;3,"Poor",Table1_1[[#This Row],[Customer_Rating]]&lt;4,"Good",Table1_1[[#This Row],[Customer_Rating]]&gt;=4,"Excellent")</f>
        <v>Good</v>
      </c>
    </row>
    <row r="418" spans="1:24" x14ac:dyDescent="0.35">
      <c r="A418" s="2" t="s">
        <v>698</v>
      </c>
      <c r="B418" s="3">
        <v>45971</v>
      </c>
      <c r="C418" s="3" t="str">
        <f>TEXT(Table1_1[[#This Row],[Date]],"YYYY")</f>
        <v>2025</v>
      </c>
      <c r="D418" s="3" t="str">
        <f>TEXT(Table1_1[[#This Row],[Date]],"mmm")</f>
        <v>Nov</v>
      </c>
      <c r="E418" s="2" t="s">
        <v>29</v>
      </c>
      <c r="F418" s="2" t="str">
        <f>INDEX(IndiGo_Flight_Data!$R$2:$R$11,MATCH(Table1_1[[#This Row],[Route]],_xlfn.ANCHORARRAY(IndiGo_Flight_Data!$Q$2),0))</f>
        <v>Calacatta - Delhi</v>
      </c>
      <c r="G418" s="2" t="s">
        <v>43</v>
      </c>
      <c r="H418">
        <v>161</v>
      </c>
      <c r="I418">
        <v>232</v>
      </c>
      <c r="J418">
        <f>Table1_1[[#This Row],[Seat_Capacity]]-Table1_1[[#This Row],[Passengers]]</f>
        <v>71</v>
      </c>
      <c r="K418">
        <v>69.400000000000006</v>
      </c>
      <c r="L418" t="str" cm="1">
        <f t="array" ref="L418">_xlfn.IFS(Table1_1[[#This Row],[Load_Factor_%]]&lt;60,"Low",Table1_1[[#This Row],[Load_Factor_%]]&lt;85,"Intermediate",Table1_1[[#This Row],[Load_Factor_%]]&gt;=85,"High")</f>
        <v>Intermediate</v>
      </c>
      <c r="M418" s="4">
        <v>897414</v>
      </c>
      <c r="N418" s="4">
        <v>64013</v>
      </c>
      <c r="O418" s="4">
        <f>SUM(Table1_1[[#This Row],[Ticket_Revenue_INR]:[Cargo_Revenue_INR]])</f>
        <v>961427</v>
      </c>
      <c r="P418" s="4">
        <v>359074</v>
      </c>
      <c r="Q418" s="4">
        <v>820684</v>
      </c>
      <c r="R418" s="4">
        <f>SUM(Table1_1[[#This Row],[Fuel_Cost_INR]:[Operating_Cost_INR]])</f>
        <v>1179758</v>
      </c>
      <c r="S418" s="4">
        <f>Table1_1[[#This Row],[Total_Revenue]]-Table1_1[[#This Row],[Total_Cost]]</f>
        <v>-218331</v>
      </c>
      <c r="T418" s="9">
        <f>(Table1_1[[#This Row],[Total_Profit]]/Table1_1[[#This Row],[Total_Revenue]])</f>
        <v>-0.22709056433821809</v>
      </c>
      <c r="U418" s="5">
        <v>55</v>
      </c>
      <c r="V418" s="6" t="s">
        <v>18</v>
      </c>
      <c r="W418" s="8">
        <v>3.8</v>
      </c>
      <c r="X418" t="str" cm="1">
        <f t="array" ref="X418">_xlfn.IFS(Table1_1[[#This Row],[Customer_Rating]]&lt;3,"Poor",Table1_1[[#This Row],[Customer_Rating]]&lt;4,"Good",Table1_1[[#This Row],[Customer_Rating]]&gt;=4,"Excellent")</f>
        <v>Good</v>
      </c>
    </row>
    <row r="419" spans="1:24" x14ac:dyDescent="0.35">
      <c r="A419" s="2" t="s">
        <v>699</v>
      </c>
      <c r="B419" s="3">
        <v>45721</v>
      </c>
      <c r="C419" s="3" t="str">
        <f>TEXT(Table1_1[[#This Row],[Date]],"YYYY")</f>
        <v>2025</v>
      </c>
      <c r="D419" s="3" t="str">
        <f>TEXT(Table1_1[[#This Row],[Date]],"mmm")</f>
        <v>Mar</v>
      </c>
      <c r="E419" s="2" t="s">
        <v>16</v>
      </c>
      <c r="F419" s="2" t="str">
        <f>INDEX(IndiGo_Flight_Data!$R$2:$R$11,MATCH(Table1_1[[#This Row],[Route]],_xlfn.ANCHORARRAY(IndiGo_Flight_Data!$Q$2),0))</f>
        <v>Delhi - Goa</v>
      </c>
      <c r="G419" s="2" t="s">
        <v>17</v>
      </c>
      <c r="H419">
        <v>49</v>
      </c>
      <c r="I419">
        <v>78</v>
      </c>
      <c r="J419">
        <f>Table1_1[[#This Row],[Seat_Capacity]]-Table1_1[[#This Row],[Passengers]]</f>
        <v>29</v>
      </c>
      <c r="K419">
        <v>62.82</v>
      </c>
      <c r="L419" t="str" cm="1">
        <f t="array" ref="L419">_xlfn.IFS(Table1_1[[#This Row],[Load_Factor_%]]&lt;60,"Low",Table1_1[[#This Row],[Load_Factor_%]]&lt;85,"Intermediate",Table1_1[[#This Row],[Load_Factor_%]]&gt;=85,"High")</f>
        <v>Intermediate</v>
      </c>
      <c r="M419" s="4">
        <v>294621</v>
      </c>
      <c r="N419" s="4">
        <v>140274</v>
      </c>
      <c r="O419" s="4">
        <f>SUM(Table1_1[[#This Row],[Ticket_Revenue_INR]:[Cargo_Revenue_INR]])</f>
        <v>434895</v>
      </c>
      <c r="P419" s="4">
        <v>971937</v>
      </c>
      <c r="Q419" s="4">
        <v>1107614</v>
      </c>
      <c r="R419" s="4">
        <f>SUM(Table1_1[[#This Row],[Fuel_Cost_INR]:[Operating_Cost_INR]])</f>
        <v>2079551</v>
      </c>
      <c r="S419" s="4">
        <f>Table1_1[[#This Row],[Total_Revenue]]-Table1_1[[#This Row],[Total_Cost]]</f>
        <v>-1644656</v>
      </c>
      <c r="T419" s="9">
        <f>(Table1_1[[#This Row],[Total_Profit]]/Table1_1[[#This Row],[Total_Revenue]])</f>
        <v>-3.7817312224789892</v>
      </c>
      <c r="U419" s="5">
        <v>40</v>
      </c>
      <c r="V419" s="6" t="s">
        <v>18</v>
      </c>
      <c r="W419" s="8">
        <v>3.8</v>
      </c>
      <c r="X419" t="str" cm="1">
        <f t="array" ref="X419">_xlfn.IFS(Table1_1[[#This Row],[Customer_Rating]]&lt;3,"Poor",Table1_1[[#This Row],[Customer_Rating]]&lt;4,"Good",Table1_1[[#This Row],[Customer_Rating]]&gt;=4,"Excellent")</f>
        <v>Good</v>
      </c>
    </row>
    <row r="420" spans="1:24" x14ac:dyDescent="0.35">
      <c r="A420" s="2" t="s">
        <v>701</v>
      </c>
      <c r="B420" s="3">
        <v>45845</v>
      </c>
      <c r="C420" s="3" t="str">
        <f>TEXT(Table1_1[[#This Row],[Date]],"YYYY")</f>
        <v>2025</v>
      </c>
      <c r="D420" s="3" t="str">
        <f>TEXT(Table1_1[[#This Row],[Date]],"mmm")</f>
        <v>Jul</v>
      </c>
      <c r="E420" s="2" t="s">
        <v>59</v>
      </c>
      <c r="F420" s="2" t="str">
        <f>INDEX(IndiGo_Flight_Data!$R$2:$R$11,MATCH(Table1_1[[#This Row],[Route]],_xlfn.ANCHORARRAY(IndiGo_Flight_Data!$Q$2),0))</f>
        <v>Bengaluru - Bombay</v>
      </c>
      <c r="G420" s="2" t="s">
        <v>24</v>
      </c>
      <c r="H420">
        <v>135</v>
      </c>
      <c r="I420">
        <v>180</v>
      </c>
      <c r="J420">
        <f>Table1_1[[#This Row],[Seat_Capacity]]-Table1_1[[#This Row],[Passengers]]</f>
        <v>45</v>
      </c>
      <c r="K420">
        <v>75</v>
      </c>
      <c r="L420" t="str" cm="1">
        <f t="array" ref="L420">_xlfn.IFS(Table1_1[[#This Row],[Load_Factor_%]]&lt;60,"Low",Table1_1[[#This Row],[Load_Factor_%]]&lt;85,"Intermediate",Table1_1[[#This Row],[Load_Factor_%]]&gt;=85,"High")</f>
        <v>Intermediate</v>
      </c>
      <c r="M420" s="4">
        <v>542718</v>
      </c>
      <c r="N420" s="4">
        <v>90968</v>
      </c>
      <c r="O420" s="4">
        <f>SUM(Table1_1[[#This Row],[Ticket_Revenue_INR]:[Cargo_Revenue_INR]])</f>
        <v>633686</v>
      </c>
      <c r="P420" s="4">
        <v>616097</v>
      </c>
      <c r="Q420" s="4">
        <v>808128</v>
      </c>
      <c r="R420" s="4">
        <f>SUM(Table1_1[[#This Row],[Fuel_Cost_INR]:[Operating_Cost_INR]])</f>
        <v>1424225</v>
      </c>
      <c r="S420" s="4">
        <f>Table1_1[[#This Row],[Total_Revenue]]-Table1_1[[#This Row],[Total_Cost]]</f>
        <v>-790539</v>
      </c>
      <c r="T420" s="9">
        <f>(Table1_1[[#This Row],[Total_Profit]]/Table1_1[[#This Row],[Total_Revenue]])</f>
        <v>-1.2475247993485732</v>
      </c>
      <c r="U420" s="5">
        <v>49</v>
      </c>
      <c r="V420" s="6" t="s">
        <v>18</v>
      </c>
      <c r="W420" s="8">
        <v>3.9</v>
      </c>
      <c r="X420" t="str" cm="1">
        <f t="array" ref="X420">_xlfn.IFS(Table1_1[[#This Row],[Customer_Rating]]&lt;3,"Poor",Table1_1[[#This Row],[Customer_Rating]]&lt;4,"Good",Table1_1[[#This Row],[Customer_Rating]]&gt;=4,"Excellent")</f>
        <v>Good</v>
      </c>
    </row>
    <row r="421" spans="1:24" x14ac:dyDescent="0.35">
      <c r="A421" s="2" t="s">
        <v>702</v>
      </c>
      <c r="B421" s="3">
        <v>45780</v>
      </c>
      <c r="C421" s="3" t="str">
        <f>TEXT(Table1_1[[#This Row],[Date]],"YYYY")</f>
        <v>2025</v>
      </c>
      <c r="D421" s="3" t="str">
        <f>TEXT(Table1_1[[#This Row],[Date]],"mmm")</f>
        <v>May</v>
      </c>
      <c r="E421" s="2" t="s">
        <v>16</v>
      </c>
      <c r="F421" s="2" t="str">
        <f>INDEX(IndiGo_Flight_Data!$R$2:$R$11,MATCH(Table1_1[[#This Row],[Route]],_xlfn.ANCHORARRAY(IndiGo_Flight_Data!$Q$2),0))</f>
        <v>Delhi - Goa</v>
      </c>
      <c r="G421" s="2" t="s">
        <v>17</v>
      </c>
      <c r="H421">
        <v>52</v>
      </c>
      <c r="I421">
        <v>78</v>
      </c>
      <c r="J421">
        <f>Table1_1[[#This Row],[Seat_Capacity]]-Table1_1[[#This Row],[Passengers]]</f>
        <v>26</v>
      </c>
      <c r="K421">
        <v>66.67</v>
      </c>
      <c r="L421" t="str" cm="1">
        <f t="array" ref="L421">_xlfn.IFS(Table1_1[[#This Row],[Load_Factor_%]]&lt;60,"Low",Table1_1[[#This Row],[Load_Factor_%]]&lt;85,"Intermediate",Table1_1[[#This Row],[Load_Factor_%]]&gt;=85,"High")</f>
        <v>Intermediate</v>
      </c>
      <c r="M421" s="4">
        <v>232550</v>
      </c>
      <c r="N421" s="4">
        <v>69451</v>
      </c>
      <c r="O421" s="4">
        <f>SUM(Table1_1[[#This Row],[Ticket_Revenue_INR]:[Cargo_Revenue_INR]])</f>
        <v>302001</v>
      </c>
      <c r="P421" s="4">
        <v>445714</v>
      </c>
      <c r="Q421" s="4">
        <v>1057901</v>
      </c>
      <c r="R421" s="4">
        <f>SUM(Table1_1[[#This Row],[Fuel_Cost_INR]:[Operating_Cost_INR]])</f>
        <v>1503615</v>
      </c>
      <c r="S421" s="4">
        <f>Table1_1[[#This Row],[Total_Revenue]]-Table1_1[[#This Row],[Total_Cost]]</f>
        <v>-1201614</v>
      </c>
      <c r="T421" s="9">
        <f>(Table1_1[[#This Row],[Total_Profit]]/Table1_1[[#This Row],[Total_Revenue]])</f>
        <v>-3.9788411296651334</v>
      </c>
      <c r="U421" s="5">
        <v>46</v>
      </c>
      <c r="V421" s="6" t="s">
        <v>18</v>
      </c>
      <c r="W421" s="8">
        <v>3.4</v>
      </c>
      <c r="X421" t="str" cm="1">
        <f t="array" ref="X421">_xlfn.IFS(Table1_1[[#This Row],[Customer_Rating]]&lt;3,"Poor",Table1_1[[#This Row],[Customer_Rating]]&lt;4,"Good",Table1_1[[#This Row],[Customer_Rating]]&gt;=4,"Excellent")</f>
        <v>Good</v>
      </c>
    </row>
    <row r="422" spans="1:24" x14ac:dyDescent="0.35">
      <c r="A422" s="2" t="s">
        <v>704</v>
      </c>
      <c r="B422" s="3">
        <v>45818</v>
      </c>
      <c r="C422" s="3" t="str">
        <f>TEXT(Table1_1[[#This Row],[Date]],"YYYY")</f>
        <v>2025</v>
      </c>
      <c r="D422" s="3" t="str">
        <f>TEXT(Table1_1[[#This Row],[Date]],"mmm")</f>
        <v>Jun</v>
      </c>
      <c r="E422" s="2" t="s">
        <v>76</v>
      </c>
      <c r="F422" s="2" t="str">
        <f>INDEX(IndiGo_Flight_Data!$R$2:$R$11,MATCH(Table1_1[[#This Row],[Route]],_xlfn.ANCHORARRAY(IndiGo_Flight_Data!$Q$2),0))</f>
        <v>Madras - Delhi</v>
      </c>
      <c r="G422" s="2" t="s">
        <v>24</v>
      </c>
      <c r="H422">
        <v>170</v>
      </c>
      <c r="I422">
        <v>180</v>
      </c>
      <c r="J422">
        <f>Table1_1[[#This Row],[Seat_Capacity]]-Table1_1[[#This Row],[Passengers]]</f>
        <v>10</v>
      </c>
      <c r="K422">
        <v>94.44</v>
      </c>
      <c r="L422" t="str" cm="1">
        <f t="array" ref="L422">_xlfn.IFS(Table1_1[[#This Row],[Load_Factor_%]]&lt;60,"Low",Table1_1[[#This Row],[Load_Factor_%]]&lt;85,"Intermediate",Table1_1[[#This Row],[Load_Factor_%]]&gt;=85,"High")</f>
        <v>High</v>
      </c>
      <c r="M422" s="4">
        <v>1367122</v>
      </c>
      <c r="N422" s="4">
        <v>47095</v>
      </c>
      <c r="O422" s="4">
        <f>SUM(Table1_1[[#This Row],[Ticket_Revenue_INR]:[Cargo_Revenue_INR]])</f>
        <v>1414217</v>
      </c>
      <c r="P422" s="4">
        <v>773735</v>
      </c>
      <c r="Q422" s="4">
        <v>1014895</v>
      </c>
      <c r="R422" s="4">
        <f>SUM(Table1_1[[#This Row],[Fuel_Cost_INR]:[Operating_Cost_INR]])</f>
        <v>1788630</v>
      </c>
      <c r="S422" s="4">
        <f>Table1_1[[#This Row],[Total_Revenue]]-Table1_1[[#This Row],[Total_Cost]]</f>
        <v>-374413</v>
      </c>
      <c r="T422" s="9">
        <f>(Table1_1[[#This Row],[Total_Profit]]/Table1_1[[#This Row],[Total_Revenue]])</f>
        <v>-0.26474932771986193</v>
      </c>
      <c r="U422" s="5">
        <v>22</v>
      </c>
      <c r="V422" s="6" t="s">
        <v>18</v>
      </c>
      <c r="W422" s="8">
        <v>3.2</v>
      </c>
      <c r="X422" t="str" cm="1">
        <f t="array" ref="X422">_xlfn.IFS(Table1_1[[#This Row],[Customer_Rating]]&lt;3,"Poor",Table1_1[[#This Row],[Customer_Rating]]&lt;4,"Good",Table1_1[[#This Row],[Customer_Rating]]&gt;=4,"Excellent")</f>
        <v>Good</v>
      </c>
    </row>
    <row r="423" spans="1:24" x14ac:dyDescent="0.35">
      <c r="A423" s="2" t="s">
        <v>705</v>
      </c>
      <c r="B423" s="3">
        <v>45857</v>
      </c>
      <c r="C423" s="3" t="str">
        <f>TEXT(Table1_1[[#This Row],[Date]],"YYYY")</f>
        <v>2025</v>
      </c>
      <c r="D423" s="3" t="str">
        <f>TEXT(Table1_1[[#This Row],[Date]],"mmm")</f>
        <v>Jul</v>
      </c>
      <c r="E423" s="2" t="s">
        <v>117</v>
      </c>
      <c r="F423" s="2" t="str">
        <f>INDEX(IndiGo_Flight_Data!$R$2:$R$11,MATCH(Table1_1[[#This Row],[Route]],_xlfn.ANCHORARRAY(IndiGo_Flight_Data!$Q$2),0))</f>
        <v>Bengaluru - Calacatta</v>
      </c>
      <c r="G423" s="2" t="s">
        <v>24</v>
      </c>
      <c r="H423">
        <v>166</v>
      </c>
      <c r="I423">
        <v>180</v>
      </c>
      <c r="J423">
        <f>Table1_1[[#This Row],[Seat_Capacity]]-Table1_1[[#This Row],[Passengers]]</f>
        <v>14</v>
      </c>
      <c r="K423">
        <v>92.22</v>
      </c>
      <c r="L423" t="str" cm="1">
        <f t="array" ref="L423">_xlfn.IFS(Table1_1[[#This Row],[Load_Factor_%]]&lt;60,"Low",Table1_1[[#This Row],[Load_Factor_%]]&lt;85,"Intermediate",Table1_1[[#This Row],[Load_Factor_%]]&gt;=85,"High")</f>
        <v>High</v>
      </c>
      <c r="M423" s="4">
        <v>695559</v>
      </c>
      <c r="N423" s="4">
        <v>135885</v>
      </c>
      <c r="O423" s="4">
        <f>SUM(Table1_1[[#This Row],[Ticket_Revenue_INR]:[Cargo_Revenue_INR]])</f>
        <v>831444</v>
      </c>
      <c r="P423" s="4">
        <v>318240</v>
      </c>
      <c r="Q423" s="4">
        <v>764364</v>
      </c>
      <c r="R423" s="4">
        <f>SUM(Table1_1[[#This Row],[Fuel_Cost_INR]:[Operating_Cost_INR]])</f>
        <v>1082604</v>
      </c>
      <c r="S423" s="4">
        <f>Table1_1[[#This Row],[Total_Revenue]]-Table1_1[[#This Row],[Total_Cost]]</f>
        <v>-251160</v>
      </c>
      <c r="T423" s="9">
        <f>(Table1_1[[#This Row],[Total_Profit]]/Table1_1[[#This Row],[Total_Revenue]])</f>
        <v>-0.30207686867666372</v>
      </c>
      <c r="U423" s="5">
        <v>39</v>
      </c>
      <c r="V423" s="6" t="s">
        <v>18</v>
      </c>
      <c r="W423" s="8">
        <v>4.8</v>
      </c>
      <c r="X423" t="str" cm="1">
        <f t="array" ref="X423">_xlfn.IFS(Table1_1[[#This Row],[Customer_Rating]]&lt;3,"Poor",Table1_1[[#This Row],[Customer_Rating]]&lt;4,"Good",Table1_1[[#This Row],[Customer_Rating]]&gt;=4,"Excellent")</f>
        <v>Excellent</v>
      </c>
    </row>
    <row r="424" spans="1:24" x14ac:dyDescent="0.35">
      <c r="A424" s="2" t="s">
        <v>706</v>
      </c>
      <c r="B424" s="3">
        <v>45914</v>
      </c>
      <c r="C424" s="3" t="str">
        <f>TEXT(Table1_1[[#This Row],[Date]],"YYYY")</f>
        <v>2025</v>
      </c>
      <c r="D424" s="3" t="str">
        <f>TEXT(Table1_1[[#This Row],[Date]],"mmm")</f>
        <v>Sep</v>
      </c>
      <c r="E424" s="2" t="s">
        <v>21</v>
      </c>
      <c r="F424" s="2" t="str">
        <f>INDEX(IndiGo_Flight_Data!$R$2:$R$11,MATCH(Table1_1[[#This Row],[Route]],_xlfn.ANCHORARRAY(IndiGo_Flight_Data!$Q$2),0))</f>
        <v>Bengaluru - Hyderabad</v>
      </c>
      <c r="G424" s="2" t="s">
        <v>43</v>
      </c>
      <c r="H424">
        <v>151</v>
      </c>
      <c r="I424">
        <v>232</v>
      </c>
      <c r="J424">
        <f>Table1_1[[#This Row],[Seat_Capacity]]-Table1_1[[#This Row],[Passengers]]</f>
        <v>81</v>
      </c>
      <c r="K424">
        <v>65.09</v>
      </c>
      <c r="L424" t="str" cm="1">
        <f t="array" ref="L424">_xlfn.IFS(Table1_1[[#This Row],[Load_Factor_%]]&lt;60,"Low",Table1_1[[#This Row],[Load_Factor_%]]&lt;85,"Intermediate",Table1_1[[#This Row],[Load_Factor_%]]&gt;=85,"High")</f>
        <v>Intermediate</v>
      </c>
      <c r="M424" s="4">
        <v>1242147</v>
      </c>
      <c r="N424" s="4">
        <v>67345</v>
      </c>
      <c r="O424" s="4">
        <f>SUM(Table1_1[[#This Row],[Ticket_Revenue_INR]:[Cargo_Revenue_INR]])</f>
        <v>1309492</v>
      </c>
      <c r="P424" s="4">
        <v>376758</v>
      </c>
      <c r="Q424" s="4">
        <v>860795</v>
      </c>
      <c r="R424" s="4">
        <f>SUM(Table1_1[[#This Row],[Fuel_Cost_INR]:[Operating_Cost_INR]])</f>
        <v>1237553</v>
      </c>
      <c r="S424" s="4">
        <f>Table1_1[[#This Row],[Total_Revenue]]-Table1_1[[#This Row],[Total_Cost]]</f>
        <v>71939</v>
      </c>
      <c r="T424" s="9">
        <f>(Table1_1[[#This Row],[Total_Profit]]/Table1_1[[#This Row],[Total_Revenue]])</f>
        <v>5.4936570822883987E-2</v>
      </c>
      <c r="U424" s="5">
        <v>76</v>
      </c>
      <c r="V424" s="6" t="s">
        <v>18</v>
      </c>
      <c r="W424" s="8">
        <v>4.0999999999999996</v>
      </c>
      <c r="X424" t="str" cm="1">
        <f t="array" ref="X424">_xlfn.IFS(Table1_1[[#This Row],[Customer_Rating]]&lt;3,"Poor",Table1_1[[#This Row],[Customer_Rating]]&lt;4,"Good",Table1_1[[#This Row],[Customer_Rating]]&gt;=4,"Excellent")</f>
        <v>Excellent</v>
      </c>
    </row>
    <row r="425" spans="1:24" x14ac:dyDescent="0.35">
      <c r="A425" s="2" t="s">
        <v>708</v>
      </c>
      <c r="B425" s="3">
        <v>45741</v>
      </c>
      <c r="C425" s="3" t="str">
        <f>TEXT(Table1_1[[#This Row],[Date]],"YYYY")</f>
        <v>2025</v>
      </c>
      <c r="D425" s="3" t="str">
        <f>TEXT(Table1_1[[#This Row],[Date]],"mmm")</f>
        <v>Mar</v>
      </c>
      <c r="E425" s="2" t="s">
        <v>29</v>
      </c>
      <c r="F425" s="2" t="str">
        <f>INDEX(IndiGo_Flight_Data!$R$2:$R$11,MATCH(Table1_1[[#This Row],[Route]],_xlfn.ANCHORARRAY(IndiGo_Flight_Data!$Q$2),0))</f>
        <v>Calacatta - Delhi</v>
      </c>
      <c r="G425" s="2" t="s">
        <v>17</v>
      </c>
      <c r="H425">
        <v>68</v>
      </c>
      <c r="I425">
        <v>78</v>
      </c>
      <c r="J425">
        <f>Table1_1[[#This Row],[Seat_Capacity]]-Table1_1[[#This Row],[Passengers]]</f>
        <v>10</v>
      </c>
      <c r="K425">
        <v>87.18</v>
      </c>
      <c r="L425" t="str" cm="1">
        <f t="array" ref="L425">_xlfn.IFS(Table1_1[[#This Row],[Load_Factor_%]]&lt;60,"Low",Table1_1[[#This Row],[Load_Factor_%]]&lt;85,"Intermediate",Table1_1[[#This Row],[Load_Factor_%]]&gt;=85,"High")</f>
        <v>High</v>
      </c>
      <c r="M425" s="4">
        <v>388534</v>
      </c>
      <c r="N425" s="4">
        <v>106642</v>
      </c>
      <c r="O425" s="4">
        <f>SUM(Table1_1[[#This Row],[Ticket_Revenue_INR]:[Cargo_Revenue_INR]])</f>
        <v>495176</v>
      </c>
      <c r="P425" s="4">
        <v>665711</v>
      </c>
      <c r="Q425" s="4">
        <v>1197839</v>
      </c>
      <c r="R425" s="4">
        <f>SUM(Table1_1[[#This Row],[Fuel_Cost_INR]:[Operating_Cost_INR]])</f>
        <v>1863550</v>
      </c>
      <c r="S425" s="4">
        <f>Table1_1[[#This Row],[Total_Revenue]]-Table1_1[[#This Row],[Total_Cost]]</f>
        <v>-1368374</v>
      </c>
      <c r="T425" s="9">
        <f>(Table1_1[[#This Row],[Total_Profit]]/Table1_1[[#This Row],[Total_Revenue]])</f>
        <v>-2.7634093736368484</v>
      </c>
      <c r="U425" s="5">
        <v>69</v>
      </c>
      <c r="V425" s="6" t="s">
        <v>18</v>
      </c>
      <c r="W425" s="8">
        <v>3.8</v>
      </c>
      <c r="X425" t="str" cm="1">
        <f t="array" ref="X425">_xlfn.IFS(Table1_1[[#This Row],[Customer_Rating]]&lt;3,"Poor",Table1_1[[#This Row],[Customer_Rating]]&lt;4,"Good",Table1_1[[#This Row],[Customer_Rating]]&gt;=4,"Excellent")</f>
        <v>Good</v>
      </c>
    </row>
    <row r="426" spans="1:24" x14ac:dyDescent="0.35">
      <c r="A426" s="2" t="s">
        <v>709</v>
      </c>
      <c r="B426" s="3">
        <v>45831</v>
      </c>
      <c r="C426" s="3" t="str">
        <f>TEXT(Table1_1[[#This Row],[Date]],"YYYY")</f>
        <v>2025</v>
      </c>
      <c r="D426" s="3" t="str">
        <f>TEXT(Table1_1[[#This Row],[Date]],"mmm")</f>
        <v>Jun</v>
      </c>
      <c r="E426" s="2" t="s">
        <v>21</v>
      </c>
      <c r="F426" s="2" t="str">
        <f>INDEX(IndiGo_Flight_Data!$R$2:$R$11,MATCH(Table1_1[[#This Row],[Route]],_xlfn.ANCHORARRAY(IndiGo_Flight_Data!$Q$2),0))</f>
        <v>Bengaluru - Hyderabad</v>
      </c>
      <c r="G426" s="2" t="s">
        <v>24</v>
      </c>
      <c r="H426">
        <v>164</v>
      </c>
      <c r="I426">
        <v>180</v>
      </c>
      <c r="J426">
        <f>Table1_1[[#This Row],[Seat_Capacity]]-Table1_1[[#This Row],[Passengers]]</f>
        <v>16</v>
      </c>
      <c r="K426">
        <v>91.11</v>
      </c>
      <c r="L426" t="str" cm="1">
        <f t="array" ref="L426">_xlfn.IFS(Table1_1[[#This Row],[Load_Factor_%]]&lt;60,"Low",Table1_1[[#This Row],[Load_Factor_%]]&lt;85,"Intermediate",Table1_1[[#This Row],[Load_Factor_%]]&gt;=85,"High")</f>
        <v>High</v>
      </c>
      <c r="M426" s="4">
        <v>741832</v>
      </c>
      <c r="N426" s="4">
        <v>115056</v>
      </c>
      <c r="O426" s="4">
        <f>SUM(Table1_1[[#This Row],[Ticket_Revenue_INR]:[Cargo_Revenue_INR]])</f>
        <v>856888</v>
      </c>
      <c r="P426" s="4">
        <v>1059127</v>
      </c>
      <c r="Q426" s="4">
        <v>1398098</v>
      </c>
      <c r="R426" s="4">
        <f>SUM(Table1_1[[#This Row],[Fuel_Cost_INR]:[Operating_Cost_INR]])</f>
        <v>2457225</v>
      </c>
      <c r="S426" s="4">
        <f>Table1_1[[#This Row],[Total_Revenue]]-Table1_1[[#This Row],[Total_Cost]]</f>
        <v>-1600337</v>
      </c>
      <c r="T426" s="9">
        <f>(Table1_1[[#This Row],[Total_Profit]]/Table1_1[[#This Row],[Total_Revenue]])</f>
        <v>-1.86761513756757</v>
      </c>
      <c r="U426" s="5">
        <v>31</v>
      </c>
      <c r="V426" s="6" t="s">
        <v>18</v>
      </c>
      <c r="W426" s="8">
        <v>4.7</v>
      </c>
      <c r="X426" t="str" cm="1">
        <f t="array" ref="X426">_xlfn.IFS(Table1_1[[#This Row],[Customer_Rating]]&lt;3,"Poor",Table1_1[[#This Row],[Customer_Rating]]&lt;4,"Good",Table1_1[[#This Row],[Customer_Rating]]&gt;=4,"Excellent")</f>
        <v>Excellent</v>
      </c>
    </row>
    <row r="427" spans="1:24" x14ac:dyDescent="0.35">
      <c r="A427" s="2" t="s">
        <v>711</v>
      </c>
      <c r="B427" s="3">
        <v>45703</v>
      </c>
      <c r="C427" s="3" t="str">
        <f>TEXT(Table1_1[[#This Row],[Date]],"YYYY")</f>
        <v>2025</v>
      </c>
      <c r="D427" s="3" t="str">
        <f>TEXT(Table1_1[[#This Row],[Date]],"mmm")</f>
        <v>Feb</v>
      </c>
      <c r="E427" s="2" t="s">
        <v>117</v>
      </c>
      <c r="F427" s="2" t="str">
        <f>INDEX(IndiGo_Flight_Data!$R$2:$R$11,MATCH(Table1_1[[#This Row],[Route]],_xlfn.ANCHORARRAY(IndiGo_Flight_Data!$Q$2),0))</f>
        <v>Bengaluru - Calacatta</v>
      </c>
      <c r="G427" s="2" t="s">
        <v>43</v>
      </c>
      <c r="H427">
        <v>171</v>
      </c>
      <c r="I427">
        <v>232</v>
      </c>
      <c r="J427">
        <f>Table1_1[[#This Row],[Seat_Capacity]]-Table1_1[[#This Row],[Passengers]]</f>
        <v>61</v>
      </c>
      <c r="K427">
        <v>73.709999999999994</v>
      </c>
      <c r="L427" t="str" cm="1">
        <f t="array" ref="L427">_xlfn.IFS(Table1_1[[#This Row],[Load_Factor_%]]&lt;60,"Low",Table1_1[[#This Row],[Load_Factor_%]]&lt;85,"Intermediate",Table1_1[[#This Row],[Load_Factor_%]]&gt;=85,"High")</f>
        <v>Intermediate</v>
      </c>
      <c r="M427" s="4">
        <v>1053630</v>
      </c>
      <c r="N427" s="4">
        <v>122298</v>
      </c>
      <c r="O427" s="4">
        <f>SUM(Table1_1[[#This Row],[Ticket_Revenue_INR]:[Cargo_Revenue_INR]])</f>
        <v>1175928</v>
      </c>
      <c r="P427" s="4">
        <v>1050416</v>
      </c>
      <c r="Q427" s="4">
        <v>1578431</v>
      </c>
      <c r="R427" s="4">
        <f>SUM(Table1_1[[#This Row],[Fuel_Cost_INR]:[Operating_Cost_INR]])</f>
        <v>2628847</v>
      </c>
      <c r="S427" s="4">
        <f>Table1_1[[#This Row],[Total_Revenue]]-Table1_1[[#This Row],[Total_Cost]]</f>
        <v>-1452919</v>
      </c>
      <c r="T427" s="9">
        <f>(Table1_1[[#This Row],[Total_Profit]]/Table1_1[[#This Row],[Total_Revenue]])</f>
        <v>-1.2355509861147962</v>
      </c>
      <c r="U427" s="5">
        <v>87</v>
      </c>
      <c r="V427" s="6" t="s">
        <v>18</v>
      </c>
      <c r="W427" s="8">
        <v>4.3</v>
      </c>
      <c r="X427" t="str" cm="1">
        <f t="array" ref="X427">_xlfn.IFS(Table1_1[[#This Row],[Customer_Rating]]&lt;3,"Poor",Table1_1[[#This Row],[Customer_Rating]]&lt;4,"Good",Table1_1[[#This Row],[Customer_Rating]]&gt;=4,"Excellent")</f>
        <v>Excellent</v>
      </c>
    </row>
    <row r="428" spans="1:24" x14ac:dyDescent="0.35">
      <c r="A428" s="2" t="s">
        <v>712</v>
      </c>
      <c r="B428" s="3">
        <v>45921</v>
      </c>
      <c r="C428" s="3" t="str">
        <f>TEXT(Table1_1[[#This Row],[Date]],"YYYY")</f>
        <v>2025</v>
      </c>
      <c r="D428" s="3" t="str">
        <f>TEXT(Table1_1[[#This Row],[Date]],"mmm")</f>
        <v>Sep</v>
      </c>
      <c r="E428" s="2" t="s">
        <v>59</v>
      </c>
      <c r="F428" s="2" t="str">
        <f>INDEX(IndiGo_Flight_Data!$R$2:$R$11,MATCH(Table1_1[[#This Row],[Route]],_xlfn.ANCHORARRAY(IndiGo_Flight_Data!$Q$2),0))</f>
        <v>Bengaluru - Bombay</v>
      </c>
      <c r="G428" s="2" t="s">
        <v>17</v>
      </c>
      <c r="H428">
        <v>63</v>
      </c>
      <c r="I428">
        <v>78</v>
      </c>
      <c r="J428">
        <f>Table1_1[[#This Row],[Seat_Capacity]]-Table1_1[[#This Row],[Passengers]]</f>
        <v>15</v>
      </c>
      <c r="K428">
        <v>80.77</v>
      </c>
      <c r="L428" t="str" cm="1">
        <f t="array" ref="L428">_xlfn.IFS(Table1_1[[#This Row],[Load_Factor_%]]&lt;60,"Low",Table1_1[[#This Row],[Load_Factor_%]]&lt;85,"Intermediate",Table1_1[[#This Row],[Load_Factor_%]]&gt;=85,"High")</f>
        <v>Intermediate</v>
      </c>
      <c r="M428" s="4">
        <v>437624</v>
      </c>
      <c r="N428" s="4">
        <v>56632</v>
      </c>
      <c r="O428" s="4">
        <f>SUM(Table1_1[[#This Row],[Ticket_Revenue_INR]:[Cargo_Revenue_INR]])</f>
        <v>494256</v>
      </c>
      <c r="P428" s="4">
        <v>468373</v>
      </c>
      <c r="Q428" s="4">
        <v>956175</v>
      </c>
      <c r="R428" s="4">
        <f>SUM(Table1_1[[#This Row],[Fuel_Cost_INR]:[Operating_Cost_INR]])</f>
        <v>1424548</v>
      </c>
      <c r="S428" s="4">
        <f>Table1_1[[#This Row],[Total_Revenue]]-Table1_1[[#This Row],[Total_Cost]]</f>
        <v>-930292</v>
      </c>
      <c r="T428" s="9">
        <f>(Table1_1[[#This Row],[Total_Profit]]/Table1_1[[#This Row],[Total_Revenue]])</f>
        <v>-1.8822067916221554</v>
      </c>
      <c r="U428" s="5">
        <v>70</v>
      </c>
      <c r="V428" s="6" t="s">
        <v>18</v>
      </c>
      <c r="W428" s="8">
        <v>4.7</v>
      </c>
      <c r="X428" t="str" cm="1">
        <f t="array" ref="X428">_xlfn.IFS(Table1_1[[#This Row],[Customer_Rating]]&lt;3,"Poor",Table1_1[[#This Row],[Customer_Rating]]&lt;4,"Good",Table1_1[[#This Row],[Customer_Rating]]&gt;=4,"Excellent")</f>
        <v>Excellent</v>
      </c>
    </row>
    <row r="429" spans="1:24" x14ac:dyDescent="0.35">
      <c r="A429" s="2" t="s">
        <v>713</v>
      </c>
      <c r="B429" s="3">
        <v>46021</v>
      </c>
      <c r="C429" s="3" t="str">
        <f>TEXT(Table1_1[[#This Row],[Date]],"YYYY")</f>
        <v>2025</v>
      </c>
      <c r="D429" s="3" t="str">
        <f>TEXT(Table1_1[[#This Row],[Date]],"mmm")</f>
        <v>Dec</v>
      </c>
      <c r="E429" s="2" t="s">
        <v>76</v>
      </c>
      <c r="F429" s="2" t="str">
        <f>INDEX(IndiGo_Flight_Data!$R$2:$R$11,MATCH(Table1_1[[#This Row],[Route]],_xlfn.ANCHORARRAY(IndiGo_Flight_Data!$Q$2),0))</f>
        <v>Madras - Delhi</v>
      </c>
      <c r="G429" s="2" t="s">
        <v>43</v>
      </c>
      <c r="H429">
        <v>219</v>
      </c>
      <c r="I429">
        <v>232</v>
      </c>
      <c r="J429">
        <f>Table1_1[[#This Row],[Seat_Capacity]]-Table1_1[[#This Row],[Passengers]]</f>
        <v>13</v>
      </c>
      <c r="K429">
        <v>94.4</v>
      </c>
      <c r="L429" t="str" cm="1">
        <f t="array" ref="L429">_xlfn.IFS(Table1_1[[#This Row],[Load_Factor_%]]&lt;60,"Low",Table1_1[[#This Row],[Load_Factor_%]]&lt;85,"Intermediate",Table1_1[[#This Row],[Load_Factor_%]]&gt;=85,"High")</f>
        <v>High</v>
      </c>
      <c r="M429" s="4">
        <v>858039</v>
      </c>
      <c r="N429" s="4">
        <v>36529</v>
      </c>
      <c r="O429" s="4">
        <f>SUM(Table1_1[[#This Row],[Ticket_Revenue_INR]:[Cargo_Revenue_INR]])</f>
        <v>894568</v>
      </c>
      <c r="P429" s="4">
        <v>1086442</v>
      </c>
      <c r="Q429" s="4">
        <v>1553627</v>
      </c>
      <c r="R429" s="4">
        <f>SUM(Table1_1[[#This Row],[Fuel_Cost_INR]:[Operating_Cost_INR]])</f>
        <v>2640069</v>
      </c>
      <c r="S429" s="4">
        <f>Table1_1[[#This Row],[Total_Revenue]]-Table1_1[[#This Row],[Total_Cost]]</f>
        <v>-1745501</v>
      </c>
      <c r="T429" s="9">
        <f>(Table1_1[[#This Row],[Total_Profit]]/Table1_1[[#This Row],[Total_Revenue]])</f>
        <v>-1.9512222659428908</v>
      </c>
      <c r="U429" s="5">
        <v>81</v>
      </c>
      <c r="V429" s="6" t="s">
        <v>18</v>
      </c>
      <c r="W429" s="8">
        <v>3.4</v>
      </c>
      <c r="X429" t="str" cm="1">
        <f t="array" ref="X429">_xlfn.IFS(Table1_1[[#This Row],[Customer_Rating]]&lt;3,"Poor",Table1_1[[#This Row],[Customer_Rating]]&lt;4,"Good",Table1_1[[#This Row],[Customer_Rating]]&gt;=4,"Excellent")</f>
        <v>Good</v>
      </c>
    </row>
    <row r="430" spans="1:24" x14ac:dyDescent="0.35">
      <c r="A430" s="2" t="s">
        <v>714</v>
      </c>
      <c r="B430" s="3">
        <v>45888</v>
      </c>
      <c r="C430" s="3" t="str">
        <f>TEXT(Table1_1[[#This Row],[Date]],"YYYY")</f>
        <v>2025</v>
      </c>
      <c r="D430" s="3" t="str">
        <f>TEXT(Table1_1[[#This Row],[Date]],"mmm")</f>
        <v>Aug</v>
      </c>
      <c r="E430" s="2" t="s">
        <v>16</v>
      </c>
      <c r="F430" s="2" t="str">
        <f>INDEX(IndiGo_Flight_Data!$R$2:$R$11,MATCH(Table1_1[[#This Row],[Route]],_xlfn.ANCHORARRAY(IndiGo_Flight_Data!$Q$2),0))</f>
        <v>Delhi - Goa</v>
      </c>
      <c r="G430" s="2" t="s">
        <v>17</v>
      </c>
      <c r="H430">
        <v>73</v>
      </c>
      <c r="I430">
        <v>78</v>
      </c>
      <c r="J430">
        <f>Table1_1[[#This Row],[Seat_Capacity]]-Table1_1[[#This Row],[Passengers]]</f>
        <v>5</v>
      </c>
      <c r="K430">
        <v>93.59</v>
      </c>
      <c r="L430" t="str" cm="1">
        <f t="array" ref="L430">_xlfn.IFS(Table1_1[[#This Row],[Load_Factor_%]]&lt;60,"Low",Table1_1[[#This Row],[Load_Factor_%]]&lt;85,"Intermediate",Table1_1[[#This Row],[Load_Factor_%]]&gt;=85,"High")</f>
        <v>High</v>
      </c>
      <c r="M430" s="4">
        <v>647651</v>
      </c>
      <c r="N430" s="4">
        <v>140848</v>
      </c>
      <c r="O430" s="4">
        <f>SUM(Table1_1[[#This Row],[Ticket_Revenue_INR]:[Cargo_Revenue_INR]])</f>
        <v>788499</v>
      </c>
      <c r="P430" s="4">
        <v>545781</v>
      </c>
      <c r="Q430" s="4">
        <v>1178971</v>
      </c>
      <c r="R430" s="4">
        <f>SUM(Table1_1[[#This Row],[Fuel_Cost_INR]:[Operating_Cost_INR]])</f>
        <v>1724752</v>
      </c>
      <c r="S430" s="4">
        <f>Table1_1[[#This Row],[Total_Revenue]]-Table1_1[[#This Row],[Total_Cost]]</f>
        <v>-936253</v>
      </c>
      <c r="T430" s="9">
        <f>(Table1_1[[#This Row],[Total_Profit]]/Table1_1[[#This Row],[Total_Revenue]])</f>
        <v>-1.1873864139333088</v>
      </c>
      <c r="U430" s="5">
        <v>36</v>
      </c>
      <c r="V430" s="6" t="s">
        <v>18</v>
      </c>
      <c r="W430" s="8">
        <v>4.8</v>
      </c>
      <c r="X430" t="str" cm="1">
        <f t="array" ref="X430">_xlfn.IFS(Table1_1[[#This Row],[Customer_Rating]]&lt;3,"Poor",Table1_1[[#This Row],[Customer_Rating]]&lt;4,"Good",Table1_1[[#This Row],[Customer_Rating]]&gt;=4,"Excellent")</f>
        <v>Excellent</v>
      </c>
    </row>
    <row r="431" spans="1:24" x14ac:dyDescent="0.35">
      <c r="A431" s="2" t="s">
        <v>716</v>
      </c>
      <c r="B431" s="3">
        <v>45922</v>
      </c>
      <c r="C431" s="3" t="str">
        <f>TEXT(Table1_1[[#This Row],[Date]],"YYYY")</f>
        <v>2025</v>
      </c>
      <c r="D431" s="3" t="str">
        <f>TEXT(Table1_1[[#This Row],[Date]],"mmm")</f>
        <v>Sep</v>
      </c>
      <c r="E431" s="2" t="s">
        <v>76</v>
      </c>
      <c r="F431" s="2" t="str">
        <f>INDEX(IndiGo_Flight_Data!$R$2:$R$11,MATCH(Table1_1[[#This Row],[Route]],_xlfn.ANCHORARRAY(IndiGo_Flight_Data!$Q$2),0))</f>
        <v>Madras - Delhi</v>
      </c>
      <c r="G431" s="2" t="s">
        <v>17</v>
      </c>
      <c r="H431">
        <v>47</v>
      </c>
      <c r="I431">
        <v>78</v>
      </c>
      <c r="J431">
        <f>Table1_1[[#This Row],[Seat_Capacity]]-Table1_1[[#This Row],[Passengers]]</f>
        <v>31</v>
      </c>
      <c r="K431">
        <v>60.26</v>
      </c>
      <c r="L431" t="str" cm="1">
        <f t="array" ref="L431">_xlfn.IFS(Table1_1[[#This Row],[Load_Factor_%]]&lt;60,"Low",Table1_1[[#This Row],[Load_Factor_%]]&lt;85,"Intermediate",Table1_1[[#This Row],[Load_Factor_%]]&gt;=85,"High")</f>
        <v>Intermediate</v>
      </c>
      <c r="M431" s="4">
        <v>214049</v>
      </c>
      <c r="N431" s="4">
        <v>78825</v>
      </c>
      <c r="O431" s="4">
        <f>SUM(Table1_1[[#This Row],[Ticket_Revenue_INR]:[Cargo_Revenue_INR]])</f>
        <v>292874</v>
      </c>
      <c r="P431" s="4">
        <v>456906</v>
      </c>
      <c r="Q431" s="4">
        <v>747423</v>
      </c>
      <c r="R431" s="4">
        <f>SUM(Table1_1[[#This Row],[Fuel_Cost_INR]:[Operating_Cost_INR]])</f>
        <v>1204329</v>
      </c>
      <c r="S431" s="4">
        <f>Table1_1[[#This Row],[Total_Revenue]]-Table1_1[[#This Row],[Total_Cost]]</f>
        <v>-911455</v>
      </c>
      <c r="T431" s="9">
        <f>(Table1_1[[#This Row],[Total_Profit]]/Table1_1[[#This Row],[Total_Revenue]])</f>
        <v>-3.1121062299828597</v>
      </c>
      <c r="U431" s="5">
        <v>9</v>
      </c>
      <c r="V431" s="6" t="s">
        <v>33</v>
      </c>
      <c r="W431" s="8">
        <v>4</v>
      </c>
      <c r="X431" t="str" cm="1">
        <f t="array" ref="X431">_xlfn.IFS(Table1_1[[#This Row],[Customer_Rating]]&lt;3,"Poor",Table1_1[[#This Row],[Customer_Rating]]&lt;4,"Good",Table1_1[[#This Row],[Customer_Rating]]&gt;=4,"Excellent")</f>
        <v>Excellent</v>
      </c>
    </row>
    <row r="432" spans="1:24" x14ac:dyDescent="0.35">
      <c r="A432" s="2" t="s">
        <v>717</v>
      </c>
      <c r="B432" s="3">
        <v>45859</v>
      </c>
      <c r="C432" s="3" t="str">
        <f>TEXT(Table1_1[[#This Row],[Date]],"YYYY")</f>
        <v>2025</v>
      </c>
      <c r="D432" s="3" t="str">
        <f>TEXT(Table1_1[[#This Row],[Date]],"mmm")</f>
        <v>Jul</v>
      </c>
      <c r="E432" s="2" t="s">
        <v>76</v>
      </c>
      <c r="F432" s="2" t="str">
        <f>INDEX(IndiGo_Flight_Data!$R$2:$R$11,MATCH(Table1_1[[#This Row],[Route]],_xlfn.ANCHORARRAY(IndiGo_Flight_Data!$Q$2),0))</f>
        <v>Madras - Delhi</v>
      </c>
      <c r="G432" s="2" t="s">
        <v>24</v>
      </c>
      <c r="H432">
        <v>109</v>
      </c>
      <c r="I432">
        <v>180</v>
      </c>
      <c r="J432">
        <f>Table1_1[[#This Row],[Seat_Capacity]]-Table1_1[[#This Row],[Passengers]]</f>
        <v>71</v>
      </c>
      <c r="K432">
        <v>60.56</v>
      </c>
      <c r="L432" t="str" cm="1">
        <f t="array" ref="L432">_xlfn.IFS(Table1_1[[#This Row],[Load_Factor_%]]&lt;60,"Low",Table1_1[[#This Row],[Load_Factor_%]]&lt;85,"Intermediate",Table1_1[[#This Row],[Load_Factor_%]]&gt;=85,"High")</f>
        <v>Intermediate</v>
      </c>
      <c r="M432" s="4">
        <v>971317</v>
      </c>
      <c r="N432" s="4">
        <v>130155</v>
      </c>
      <c r="O432" s="4">
        <f>SUM(Table1_1[[#This Row],[Ticket_Revenue_INR]:[Cargo_Revenue_INR]])</f>
        <v>1101472</v>
      </c>
      <c r="P432" s="4">
        <v>567962</v>
      </c>
      <c r="Q432" s="4">
        <v>1213246</v>
      </c>
      <c r="R432" s="4">
        <f>SUM(Table1_1[[#This Row],[Fuel_Cost_INR]:[Operating_Cost_INR]])</f>
        <v>1781208</v>
      </c>
      <c r="S432" s="4">
        <f>Table1_1[[#This Row],[Total_Revenue]]-Table1_1[[#This Row],[Total_Cost]]</f>
        <v>-679736</v>
      </c>
      <c r="T432" s="9">
        <f>(Table1_1[[#This Row],[Total_Profit]]/Table1_1[[#This Row],[Total_Revenue]])</f>
        <v>-0.61711600476453332</v>
      </c>
      <c r="U432" s="5">
        <v>75</v>
      </c>
      <c r="V432" s="6" t="s">
        <v>18</v>
      </c>
      <c r="W432" s="8">
        <v>4.7</v>
      </c>
      <c r="X432" t="str" cm="1">
        <f t="array" ref="X432">_xlfn.IFS(Table1_1[[#This Row],[Customer_Rating]]&lt;3,"Poor",Table1_1[[#This Row],[Customer_Rating]]&lt;4,"Good",Table1_1[[#This Row],[Customer_Rating]]&gt;=4,"Excellent")</f>
        <v>Excellent</v>
      </c>
    </row>
    <row r="433" spans="1:24" x14ac:dyDescent="0.35">
      <c r="A433" s="2" t="s">
        <v>719</v>
      </c>
      <c r="B433" s="3">
        <v>45742</v>
      </c>
      <c r="C433" s="3" t="str">
        <f>TEXT(Table1_1[[#This Row],[Date]],"YYYY")</f>
        <v>2025</v>
      </c>
      <c r="D433" s="3" t="str">
        <f>TEXT(Table1_1[[#This Row],[Date]],"mmm")</f>
        <v>Mar</v>
      </c>
      <c r="E433" s="2" t="s">
        <v>36</v>
      </c>
      <c r="F433" s="2" t="str">
        <f>INDEX(IndiGo_Flight_Data!$R$2:$R$11,MATCH(Table1_1[[#This Row],[Route]],_xlfn.ANCHORARRAY(IndiGo_Flight_Data!$Q$2),0))</f>
        <v>Delhi - Bombay</v>
      </c>
      <c r="G433" s="2" t="s">
        <v>43</v>
      </c>
      <c r="H433">
        <v>196</v>
      </c>
      <c r="I433">
        <v>232</v>
      </c>
      <c r="J433">
        <f>Table1_1[[#This Row],[Seat_Capacity]]-Table1_1[[#This Row],[Passengers]]</f>
        <v>36</v>
      </c>
      <c r="K433">
        <v>84.48</v>
      </c>
      <c r="L433" t="str" cm="1">
        <f t="array" ref="L433">_xlfn.IFS(Table1_1[[#This Row],[Load_Factor_%]]&lt;60,"Low",Table1_1[[#This Row],[Load_Factor_%]]&lt;85,"Intermediate",Table1_1[[#This Row],[Load_Factor_%]]&gt;=85,"High")</f>
        <v>Intermediate</v>
      </c>
      <c r="M433" s="4">
        <v>989233</v>
      </c>
      <c r="N433" s="4">
        <v>86239</v>
      </c>
      <c r="O433" s="4">
        <f>SUM(Table1_1[[#This Row],[Ticket_Revenue_INR]:[Cargo_Revenue_INR]])</f>
        <v>1075472</v>
      </c>
      <c r="P433" s="4">
        <v>253251</v>
      </c>
      <c r="Q433" s="4">
        <v>364116</v>
      </c>
      <c r="R433" s="4">
        <f>SUM(Table1_1[[#This Row],[Fuel_Cost_INR]:[Operating_Cost_INR]])</f>
        <v>617367</v>
      </c>
      <c r="S433" s="4">
        <f>Table1_1[[#This Row],[Total_Revenue]]-Table1_1[[#This Row],[Total_Cost]]</f>
        <v>458105</v>
      </c>
      <c r="T433" s="9">
        <f>(Table1_1[[#This Row],[Total_Profit]]/Table1_1[[#This Row],[Total_Revenue]])</f>
        <v>0.42595716113483195</v>
      </c>
      <c r="U433" s="5">
        <v>35</v>
      </c>
      <c r="V433" s="6" t="s">
        <v>18</v>
      </c>
      <c r="W433" s="8">
        <v>3.3</v>
      </c>
      <c r="X433" t="str" cm="1">
        <f t="array" ref="X433">_xlfn.IFS(Table1_1[[#This Row],[Customer_Rating]]&lt;3,"Poor",Table1_1[[#This Row],[Customer_Rating]]&lt;4,"Good",Table1_1[[#This Row],[Customer_Rating]]&gt;=4,"Excellent")</f>
        <v>Good</v>
      </c>
    </row>
    <row r="434" spans="1:24" x14ac:dyDescent="0.35">
      <c r="A434" s="2" t="s">
        <v>720</v>
      </c>
      <c r="B434" s="3">
        <v>45777</v>
      </c>
      <c r="C434" s="3" t="str">
        <f>TEXT(Table1_1[[#This Row],[Date]],"YYYY")</f>
        <v>2025</v>
      </c>
      <c r="D434" s="3" t="str">
        <f>TEXT(Table1_1[[#This Row],[Date]],"mmm")</f>
        <v>Apr</v>
      </c>
      <c r="E434" s="2" t="s">
        <v>59</v>
      </c>
      <c r="F434" s="2" t="str">
        <f>INDEX(IndiGo_Flight_Data!$R$2:$R$11,MATCH(Table1_1[[#This Row],[Route]],_xlfn.ANCHORARRAY(IndiGo_Flight_Data!$Q$2),0))</f>
        <v>Bengaluru - Bombay</v>
      </c>
      <c r="G434" s="2" t="s">
        <v>17</v>
      </c>
      <c r="H434">
        <v>57</v>
      </c>
      <c r="I434">
        <v>78</v>
      </c>
      <c r="J434">
        <f>Table1_1[[#This Row],[Seat_Capacity]]-Table1_1[[#This Row],[Passengers]]</f>
        <v>21</v>
      </c>
      <c r="K434">
        <v>73.08</v>
      </c>
      <c r="L434" t="str" cm="1">
        <f t="array" ref="L434">_xlfn.IFS(Table1_1[[#This Row],[Load_Factor_%]]&lt;60,"Low",Table1_1[[#This Row],[Load_Factor_%]]&lt;85,"Intermediate",Table1_1[[#This Row],[Load_Factor_%]]&gt;=85,"High")</f>
        <v>Intermediate</v>
      </c>
      <c r="M434" s="4">
        <v>404917</v>
      </c>
      <c r="N434" s="4">
        <v>124230</v>
      </c>
      <c r="O434" s="4">
        <f>SUM(Table1_1[[#This Row],[Ticket_Revenue_INR]:[Cargo_Revenue_INR]])</f>
        <v>529147</v>
      </c>
      <c r="P434" s="4">
        <v>1150889</v>
      </c>
      <c r="Q434" s="4">
        <v>1370928</v>
      </c>
      <c r="R434" s="4">
        <f>SUM(Table1_1[[#This Row],[Fuel_Cost_INR]:[Operating_Cost_INR]])</f>
        <v>2521817</v>
      </c>
      <c r="S434" s="4">
        <f>Table1_1[[#This Row],[Total_Revenue]]-Table1_1[[#This Row],[Total_Cost]]</f>
        <v>-1992670</v>
      </c>
      <c r="T434" s="9">
        <f>(Table1_1[[#This Row],[Total_Profit]]/Table1_1[[#This Row],[Total_Revenue]])</f>
        <v>-3.7658155484203824</v>
      </c>
      <c r="U434" s="5">
        <v>30</v>
      </c>
      <c r="V434" s="6" t="s">
        <v>18</v>
      </c>
      <c r="W434" s="8">
        <v>4</v>
      </c>
      <c r="X434" t="str" cm="1">
        <f t="array" ref="X434">_xlfn.IFS(Table1_1[[#This Row],[Customer_Rating]]&lt;3,"Poor",Table1_1[[#This Row],[Customer_Rating]]&lt;4,"Good",Table1_1[[#This Row],[Customer_Rating]]&gt;=4,"Excellent")</f>
        <v>Excellent</v>
      </c>
    </row>
    <row r="435" spans="1:24" x14ac:dyDescent="0.35">
      <c r="A435" s="2" t="s">
        <v>721</v>
      </c>
      <c r="B435" s="3">
        <v>45666</v>
      </c>
      <c r="C435" s="3" t="str">
        <f>TEXT(Table1_1[[#This Row],[Date]],"YYYY")</f>
        <v>2025</v>
      </c>
      <c r="D435" s="3" t="str">
        <f>TEXT(Table1_1[[#This Row],[Date]],"mmm")</f>
        <v>Jan</v>
      </c>
      <c r="E435" s="2" t="s">
        <v>16</v>
      </c>
      <c r="F435" s="2" t="str">
        <f>INDEX(IndiGo_Flight_Data!$R$2:$R$11,MATCH(Table1_1[[#This Row],[Route]],_xlfn.ANCHORARRAY(IndiGo_Flight_Data!$Q$2),0))</f>
        <v>Delhi - Goa</v>
      </c>
      <c r="G435" s="2" t="s">
        <v>17</v>
      </c>
      <c r="H435">
        <v>59</v>
      </c>
      <c r="I435">
        <v>78</v>
      </c>
      <c r="J435">
        <f>Table1_1[[#This Row],[Seat_Capacity]]-Table1_1[[#This Row],[Passengers]]</f>
        <v>19</v>
      </c>
      <c r="K435">
        <v>75.64</v>
      </c>
      <c r="L435" t="str" cm="1">
        <f t="array" ref="L435">_xlfn.IFS(Table1_1[[#This Row],[Load_Factor_%]]&lt;60,"Low",Table1_1[[#This Row],[Load_Factor_%]]&lt;85,"Intermediate",Table1_1[[#This Row],[Load_Factor_%]]&gt;=85,"High")</f>
        <v>Intermediate</v>
      </c>
      <c r="M435" s="4">
        <v>235754</v>
      </c>
      <c r="N435" s="4">
        <v>46465</v>
      </c>
      <c r="O435" s="4">
        <f>SUM(Table1_1[[#This Row],[Ticket_Revenue_INR]:[Cargo_Revenue_INR]])</f>
        <v>282219</v>
      </c>
      <c r="P435" s="4">
        <v>1009663</v>
      </c>
      <c r="Q435" s="4">
        <v>1363725</v>
      </c>
      <c r="R435" s="4">
        <f>SUM(Table1_1[[#This Row],[Fuel_Cost_INR]:[Operating_Cost_INR]])</f>
        <v>2373388</v>
      </c>
      <c r="S435" s="4">
        <f>Table1_1[[#This Row],[Total_Revenue]]-Table1_1[[#This Row],[Total_Cost]]</f>
        <v>-2091169</v>
      </c>
      <c r="T435" s="9">
        <f>(Table1_1[[#This Row],[Total_Profit]]/Table1_1[[#This Row],[Total_Revenue]])</f>
        <v>-7.4097385363848645</v>
      </c>
      <c r="U435" s="5">
        <v>49</v>
      </c>
      <c r="V435" s="6" t="s">
        <v>18</v>
      </c>
      <c r="W435" s="8">
        <v>4.9000000000000004</v>
      </c>
      <c r="X435" t="str" cm="1">
        <f t="array" ref="X435">_xlfn.IFS(Table1_1[[#This Row],[Customer_Rating]]&lt;3,"Poor",Table1_1[[#This Row],[Customer_Rating]]&lt;4,"Good",Table1_1[[#This Row],[Customer_Rating]]&gt;=4,"Excellent")</f>
        <v>Excellent</v>
      </c>
    </row>
    <row r="436" spans="1:24" x14ac:dyDescent="0.35">
      <c r="A436" s="2" t="s">
        <v>722</v>
      </c>
      <c r="B436" s="3">
        <v>45905</v>
      </c>
      <c r="C436" s="3" t="str">
        <f>TEXT(Table1_1[[#This Row],[Date]],"YYYY")</f>
        <v>2025</v>
      </c>
      <c r="D436" s="3" t="str">
        <f>TEXT(Table1_1[[#This Row],[Date]],"mmm")</f>
        <v>Sep</v>
      </c>
      <c r="E436" s="2" t="s">
        <v>32</v>
      </c>
      <c r="F436" s="2" t="str">
        <f>INDEX(IndiGo_Flight_Data!$R$2:$R$11,MATCH(Table1_1[[#This Row],[Route]],_xlfn.ANCHORARRAY(IndiGo_Flight_Data!$Q$2),0))</f>
        <v>Bengaluru - Cochin</v>
      </c>
      <c r="G436" s="2" t="s">
        <v>24</v>
      </c>
      <c r="H436">
        <v>150</v>
      </c>
      <c r="I436">
        <v>180</v>
      </c>
      <c r="J436">
        <f>Table1_1[[#This Row],[Seat_Capacity]]-Table1_1[[#This Row],[Passengers]]</f>
        <v>30</v>
      </c>
      <c r="K436">
        <v>83.33</v>
      </c>
      <c r="L436" t="str" cm="1">
        <f t="array" ref="L436">_xlfn.IFS(Table1_1[[#This Row],[Load_Factor_%]]&lt;60,"Low",Table1_1[[#This Row],[Load_Factor_%]]&lt;85,"Intermediate",Table1_1[[#This Row],[Load_Factor_%]]&gt;=85,"High")</f>
        <v>Intermediate</v>
      </c>
      <c r="M436" s="4">
        <v>1104335</v>
      </c>
      <c r="N436" s="4">
        <v>18995</v>
      </c>
      <c r="O436" s="4">
        <f>SUM(Table1_1[[#This Row],[Ticket_Revenue_INR]:[Cargo_Revenue_INR]])</f>
        <v>1123330</v>
      </c>
      <c r="P436" s="4">
        <v>421277</v>
      </c>
      <c r="Q436" s="4">
        <v>812466</v>
      </c>
      <c r="R436" s="4">
        <f>SUM(Table1_1[[#This Row],[Fuel_Cost_INR]:[Operating_Cost_INR]])</f>
        <v>1233743</v>
      </c>
      <c r="S436" s="4">
        <f>Table1_1[[#This Row],[Total_Revenue]]-Table1_1[[#This Row],[Total_Cost]]</f>
        <v>-110413</v>
      </c>
      <c r="T436" s="9">
        <f>(Table1_1[[#This Row],[Total_Profit]]/Table1_1[[#This Row],[Total_Revenue]])</f>
        <v>-9.8290796115122009E-2</v>
      </c>
      <c r="U436" s="5">
        <v>58</v>
      </c>
      <c r="V436" s="6" t="s">
        <v>18</v>
      </c>
      <c r="W436" s="8">
        <v>3.2</v>
      </c>
      <c r="X436" t="str" cm="1">
        <f t="array" ref="X436">_xlfn.IFS(Table1_1[[#This Row],[Customer_Rating]]&lt;3,"Poor",Table1_1[[#This Row],[Customer_Rating]]&lt;4,"Good",Table1_1[[#This Row],[Customer_Rating]]&gt;=4,"Excellent")</f>
        <v>Good</v>
      </c>
    </row>
    <row r="437" spans="1:24" x14ac:dyDescent="0.35">
      <c r="A437" s="2" t="s">
        <v>723</v>
      </c>
      <c r="B437" s="3">
        <v>45778</v>
      </c>
      <c r="C437" s="3" t="str">
        <f>TEXT(Table1_1[[#This Row],[Date]],"YYYY")</f>
        <v>2025</v>
      </c>
      <c r="D437" s="3" t="str">
        <f>TEXT(Table1_1[[#This Row],[Date]],"mmm")</f>
        <v>May</v>
      </c>
      <c r="E437" s="2" t="s">
        <v>32</v>
      </c>
      <c r="F437" s="2" t="str">
        <f>INDEX(IndiGo_Flight_Data!$R$2:$R$11,MATCH(Table1_1[[#This Row],[Route]],_xlfn.ANCHORARRAY(IndiGo_Flight_Data!$Q$2),0))</f>
        <v>Bengaluru - Cochin</v>
      </c>
      <c r="G437" s="2" t="s">
        <v>17</v>
      </c>
      <c r="H437">
        <v>59</v>
      </c>
      <c r="I437">
        <v>78</v>
      </c>
      <c r="J437">
        <f>Table1_1[[#This Row],[Seat_Capacity]]-Table1_1[[#This Row],[Passengers]]</f>
        <v>19</v>
      </c>
      <c r="K437">
        <v>75.64</v>
      </c>
      <c r="L437" t="str" cm="1">
        <f t="array" ref="L437">_xlfn.IFS(Table1_1[[#This Row],[Load_Factor_%]]&lt;60,"Low",Table1_1[[#This Row],[Load_Factor_%]]&lt;85,"Intermediate",Table1_1[[#This Row],[Load_Factor_%]]&gt;=85,"High")</f>
        <v>Intermediate</v>
      </c>
      <c r="M437" s="4">
        <v>511750</v>
      </c>
      <c r="N437" s="4">
        <v>42681</v>
      </c>
      <c r="O437" s="4">
        <f>SUM(Table1_1[[#This Row],[Ticket_Revenue_INR]:[Cargo_Revenue_INR]])</f>
        <v>554431</v>
      </c>
      <c r="P437" s="4">
        <v>490352</v>
      </c>
      <c r="Q437" s="4">
        <v>1102204</v>
      </c>
      <c r="R437" s="4">
        <f>SUM(Table1_1[[#This Row],[Fuel_Cost_INR]:[Operating_Cost_INR]])</f>
        <v>1592556</v>
      </c>
      <c r="S437" s="4">
        <f>Table1_1[[#This Row],[Total_Revenue]]-Table1_1[[#This Row],[Total_Cost]]</f>
        <v>-1038125</v>
      </c>
      <c r="T437" s="9">
        <f>(Table1_1[[#This Row],[Total_Profit]]/Table1_1[[#This Row],[Total_Revenue]])</f>
        <v>-1.872415142731918</v>
      </c>
      <c r="U437" s="5">
        <v>87</v>
      </c>
      <c r="V437" s="6" t="s">
        <v>18</v>
      </c>
      <c r="W437" s="8">
        <v>3.5</v>
      </c>
      <c r="X437" t="str" cm="1">
        <f t="array" ref="X437">_xlfn.IFS(Table1_1[[#This Row],[Customer_Rating]]&lt;3,"Poor",Table1_1[[#This Row],[Customer_Rating]]&lt;4,"Good",Table1_1[[#This Row],[Customer_Rating]]&gt;=4,"Excellent")</f>
        <v>Good</v>
      </c>
    </row>
    <row r="438" spans="1:24" x14ac:dyDescent="0.35">
      <c r="A438" s="2" t="s">
        <v>725</v>
      </c>
      <c r="B438" s="3">
        <v>45888</v>
      </c>
      <c r="C438" s="3" t="str">
        <f>TEXT(Table1_1[[#This Row],[Date]],"YYYY")</f>
        <v>2025</v>
      </c>
      <c r="D438" s="3" t="str">
        <f>TEXT(Table1_1[[#This Row],[Date]],"mmm")</f>
        <v>Aug</v>
      </c>
      <c r="E438" s="2" t="s">
        <v>39</v>
      </c>
      <c r="F438" s="2" t="str">
        <f>INDEX(IndiGo_Flight_Data!$R$2:$R$11,MATCH(Table1_1[[#This Row],[Route]],_xlfn.ANCHORARRAY(IndiGo_Flight_Data!$Q$2),0))</f>
        <v>Bengaluru - Delhi</v>
      </c>
      <c r="G438" s="2" t="s">
        <v>24</v>
      </c>
      <c r="H438">
        <v>119</v>
      </c>
      <c r="I438">
        <v>180</v>
      </c>
      <c r="J438">
        <f>Table1_1[[#This Row],[Seat_Capacity]]-Table1_1[[#This Row],[Passengers]]</f>
        <v>61</v>
      </c>
      <c r="K438">
        <v>66.11</v>
      </c>
      <c r="L438" t="str" cm="1">
        <f t="array" ref="L438">_xlfn.IFS(Table1_1[[#This Row],[Load_Factor_%]]&lt;60,"Low",Table1_1[[#This Row],[Load_Factor_%]]&lt;85,"Intermediate",Table1_1[[#This Row],[Load_Factor_%]]&gt;=85,"High")</f>
        <v>Intermediate</v>
      </c>
      <c r="M438" s="4">
        <v>974358</v>
      </c>
      <c r="N438" s="4">
        <v>116117</v>
      </c>
      <c r="O438" s="4">
        <f>SUM(Table1_1[[#This Row],[Ticket_Revenue_INR]:[Cargo_Revenue_INR]])</f>
        <v>1090475</v>
      </c>
      <c r="P438" s="4">
        <v>617395</v>
      </c>
      <c r="Q438" s="4">
        <v>840572</v>
      </c>
      <c r="R438" s="4">
        <f>SUM(Table1_1[[#This Row],[Fuel_Cost_INR]:[Operating_Cost_INR]])</f>
        <v>1457967</v>
      </c>
      <c r="S438" s="4">
        <f>Table1_1[[#This Row],[Total_Revenue]]-Table1_1[[#This Row],[Total_Cost]]</f>
        <v>-367492</v>
      </c>
      <c r="T438" s="9">
        <f>(Table1_1[[#This Row],[Total_Profit]]/Table1_1[[#This Row],[Total_Revenue]])</f>
        <v>-0.33700176528576997</v>
      </c>
      <c r="U438" s="5">
        <v>41</v>
      </c>
      <c r="V438" s="6" t="s">
        <v>18</v>
      </c>
      <c r="W438" s="8">
        <v>4.3</v>
      </c>
      <c r="X438" t="str" cm="1">
        <f t="array" ref="X438">_xlfn.IFS(Table1_1[[#This Row],[Customer_Rating]]&lt;3,"Poor",Table1_1[[#This Row],[Customer_Rating]]&lt;4,"Good",Table1_1[[#This Row],[Customer_Rating]]&gt;=4,"Excellent")</f>
        <v>Excellent</v>
      </c>
    </row>
    <row r="439" spans="1:24" x14ac:dyDescent="0.35">
      <c r="A439" s="2" t="s">
        <v>726</v>
      </c>
      <c r="B439" s="3">
        <v>45829</v>
      </c>
      <c r="C439" s="3" t="str">
        <f>TEXT(Table1_1[[#This Row],[Date]],"YYYY")</f>
        <v>2025</v>
      </c>
      <c r="D439" s="3" t="str">
        <f>TEXT(Table1_1[[#This Row],[Date]],"mmm")</f>
        <v>Jun</v>
      </c>
      <c r="E439" s="2" t="s">
        <v>16</v>
      </c>
      <c r="F439" s="2" t="str">
        <f>INDEX(IndiGo_Flight_Data!$R$2:$R$11,MATCH(Table1_1[[#This Row],[Route]],_xlfn.ANCHORARRAY(IndiGo_Flight_Data!$Q$2),0))</f>
        <v>Delhi - Goa</v>
      </c>
      <c r="G439" s="2" t="s">
        <v>24</v>
      </c>
      <c r="H439">
        <v>153</v>
      </c>
      <c r="I439">
        <v>180</v>
      </c>
      <c r="J439">
        <f>Table1_1[[#This Row],[Seat_Capacity]]-Table1_1[[#This Row],[Passengers]]</f>
        <v>27</v>
      </c>
      <c r="K439">
        <v>85</v>
      </c>
      <c r="L439" t="str" cm="1">
        <f t="array" ref="L439">_xlfn.IFS(Table1_1[[#This Row],[Load_Factor_%]]&lt;60,"Low",Table1_1[[#This Row],[Load_Factor_%]]&lt;85,"Intermediate",Table1_1[[#This Row],[Load_Factor_%]]&gt;=85,"High")</f>
        <v>High</v>
      </c>
      <c r="M439" s="4">
        <v>590719</v>
      </c>
      <c r="N439" s="4">
        <v>129445</v>
      </c>
      <c r="O439" s="4">
        <f>SUM(Table1_1[[#This Row],[Ticket_Revenue_INR]:[Cargo_Revenue_INR]])</f>
        <v>720164</v>
      </c>
      <c r="P439" s="4">
        <v>689546</v>
      </c>
      <c r="Q439" s="4">
        <v>858497</v>
      </c>
      <c r="R439" s="4">
        <f>SUM(Table1_1[[#This Row],[Fuel_Cost_INR]:[Operating_Cost_INR]])</f>
        <v>1548043</v>
      </c>
      <c r="S439" s="4">
        <f>Table1_1[[#This Row],[Total_Revenue]]-Table1_1[[#This Row],[Total_Cost]]</f>
        <v>-827879</v>
      </c>
      <c r="T439" s="9">
        <f>(Table1_1[[#This Row],[Total_Profit]]/Table1_1[[#This Row],[Total_Revenue]])</f>
        <v>-1.1495700979221399</v>
      </c>
      <c r="U439" s="5">
        <v>46</v>
      </c>
      <c r="V439" s="6" t="s">
        <v>18</v>
      </c>
      <c r="W439" s="8">
        <v>3.7</v>
      </c>
      <c r="X439" t="str" cm="1">
        <f t="array" ref="X439">_xlfn.IFS(Table1_1[[#This Row],[Customer_Rating]]&lt;3,"Poor",Table1_1[[#This Row],[Customer_Rating]]&lt;4,"Good",Table1_1[[#This Row],[Customer_Rating]]&gt;=4,"Excellent")</f>
        <v>Good</v>
      </c>
    </row>
    <row r="440" spans="1:24" x14ac:dyDescent="0.35">
      <c r="A440" s="2" t="s">
        <v>727</v>
      </c>
      <c r="B440" s="3">
        <v>45745</v>
      </c>
      <c r="C440" s="3" t="str">
        <f>TEXT(Table1_1[[#This Row],[Date]],"YYYY")</f>
        <v>2025</v>
      </c>
      <c r="D440" s="3" t="str">
        <f>TEXT(Table1_1[[#This Row],[Date]],"mmm")</f>
        <v>Mar</v>
      </c>
      <c r="E440" s="2" t="s">
        <v>39</v>
      </c>
      <c r="F440" s="2" t="str">
        <f>INDEX(IndiGo_Flight_Data!$R$2:$R$11,MATCH(Table1_1[[#This Row],[Route]],_xlfn.ANCHORARRAY(IndiGo_Flight_Data!$Q$2),0))</f>
        <v>Bengaluru - Delhi</v>
      </c>
      <c r="G440" s="2" t="s">
        <v>24</v>
      </c>
      <c r="H440">
        <v>176</v>
      </c>
      <c r="I440">
        <v>180</v>
      </c>
      <c r="J440">
        <f>Table1_1[[#This Row],[Seat_Capacity]]-Table1_1[[#This Row],[Passengers]]</f>
        <v>4</v>
      </c>
      <c r="K440">
        <v>97.78</v>
      </c>
      <c r="L440" t="str" cm="1">
        <f t="array" ref="L440">_xlfn.IFS(Table1_1[[#This Row],[Load_Factor_%]]&lt;60,"Low",Table1_1[[#This Row],[Load_Factor_%]]&lt;85,"Intermediate",Table1_1[[#This Row],[Load_Factor_%]]&gt;=85,"High")</f>
        <v>High</v>
      </c>
      <c r="M440" s="4">
        <v>1529313</v>
      </c>
      <c r="N440" s="4">
        <v>78327</v>
      </c>
      <c r="O440" s="4">
        <f>SUM(Table1_1[[#This Row],[Ticket_Revenue_INR]:[Cargo_Revenue_INR]])</f>
        <v>1607640</v>
      </c>
      <c r="P440" s="4">
        <v>585498</v>
      </c>
      <c r="Q440" s="4">
        <v>1194923</v>
      </c>
      <c r="R440" s="4">
        <f>SUM(Table1_1[[#This Row],[Fuel_Cost_INR]:[Operating_Cost_INR]])</f>
        <v>1780421</v>
      </c>
      <c r="S440" s="4">
        <f>Table1_1[[#This Row],[Total_Revenue]]-Table1_1[[#This Row],[Total_Cost]]</f>
        <v>-172781</v>
      </c>
      <c r="T440" s="9">
        <f>(Table1_1[[#This Row],[Total_Profit]]/Table1_1[[#This Row],[Total_Revenue]])</f>
        <v>-0.10747493219875097</v>
      </c>
      <c r="U440" s="5">
        <v>7</v>
      </c>
      <c r="V440" s="6" t="s">
        <v>33</v>
      </c>
      <c r="W440" s="8">
        <v>3.3</v>
      </c>
      <c r="X440" t="str" cm="1">
        <f t="array" ref="X440">_xlfn.IFS(Table1_1[[#This Row],[Customer_Rating]]&lt;3,"Poor",Table1_1[[#This Row],[Customer_Rating]]&lt;4,"Good",Table1_1[[#This Row],[Customer_Rating]]&gt;=4,"Excellent")</f>
        <v>Good</v>
      </c>
    </row>
    <row r="441" spans="1:24" x14ac:dyDescent="0.35">
      <c r="A441" s="2" t="s">
        <v>728</v>
      </c>
      <c r="B441" s="3">
        <v>45972</v>
      </c>
      <c r="C441" s="3" t="str">
        <f>TEXT(Table1_1[[#This Row],[Date]],"YYYY")</f>
        <v>2025</v>
      </c>
      <c r="D441" s="3" t="str">
        <f>TEXT(Table1_1[[#This Row],[Date]],"mmm")</f>
        <v>Nov</v>
      </c>
      <c r="E441" s="2" t="s">
        <v>16</v>
      </c>
      <c r="F441" s="2" t="str">
        <f>INDEX(IndiGo_Flight_Data!$R$2:$R$11,MATCH(Table1_1[[#This Row],[Route]],_xlfn.ANCHORARRAY(IndiGo_Flight_Data!$Q$2),0))</f>
        <v>Delhi - Goa</v>
      </c>
      <c r="G441" s="2" t="s">
        <v>24</v>
      </c>
      <c r="H441">
        <v>110</v>
      </c>
      <c r="I441">
        <v>180</v>
      </c>
      <c r="J441">
        <f>Table1_1[[#This Row],[Seat_Capacity]]-Table1_1[[#This Row],[Passengers]]</f>
        <v>70</v>
      </c>
      <c r="K441">
        <v>61.11</v>
      </c>
      <c r="L441" t="str" cm="1">
        <f t="array" ref="L441">_xlfn.IFS(Table1_1[[#This Row],[Load_Factor_%]]&lt;60,"Low",Table1_1[[#This Row],[Load_Factor_%]]&lt;85,"Intermediate",Table1_1[[#This Row],[Load_Factor_%]]&gt;=85,"High")</f>
        <v>Intermediate</v>
      </c>
      <c r="M441" s="4">
        <v>840758</v>
      </c>
      <c r="N441" s="4">
        <v>19251</v>
      </c>
      <c r="O441" s="4">
        <f>SUM(Table1_1[[#This Row],[Ticket_Revenue_INR]:[Cargo_Revenue_INR]])</f>
        <v>860009</v>
      </c>
      <c r="P441" s="4">
        <v>460777</v>
      </c>
      <c r="Q441" s="4">
        <v>725008</v>
      </c>
      <c r="R441" s="4">
        <f>SUM(Table1_1[[#This Row],[Fuel_Cost_INR]:[Operating_Cost_INR]])</f>
        <v>1185785</v>
      </c>
      <c r="S441" s="4">
        <f>Table1_1[[#This Row],[Total_Revenue]]-Table1_1[[#This Row],[Total_Cost]]</f>
        <v>-325776</v>
      </c>
      <c r="T441" s="9">
        <f>(Table1_1[[#This Row],[Total_Profit]]/Table1_1[[#This Row],[Total_Revenue]])</f>
        <v>-0.37880533808367123</v>
      </c>
      <c r="U441" s="5">
        <v>60</v>
      </c>
      <c r="V441" s="6" t="s">
        <v>18</v>
      </c>
      <c r="W441" s="8">
        <v>4.0999999999999996</v>
      </c>
      <c r="X441" t="str" cm="1">
        <f t="array" ref="X441">_xlfn.IFS(Table1_1[[#This Row],[Customer_Rating]]&lt;3,"Poor",Table1_1[[#This Row],[Customer_Rating]]&lt;4,"Good",Table1_1[[#This Row],[Customer_Rating]]&gt;=4,"Excellent")</f>
        <v>Excellent</v>
      </c>
    </row>
    <row r="442" spans="1:24" x14ac:dyDescent="0.35">
      <c r="A442" s="2" t="s">
        <v>730</v>
      </c>
      <c r="B442" s="3">
        <v>45694</v>
      </c>
      <c r="C442" s="3" t="str">
        <f>TEXT(Table1_1[[#This Row],[Date]],"YYYY")</f>
        <v>2025</v>
      </c>
      <c r="D442" s="3" t="str">
        <f>TEXT(Table1_1[[#This Row],[Date]],"mmm")</f>
        <v>Feb</v>
      </c>
      <c r="E442" s="2" t="s">
        <v>16</v>
      </c>
      <c r="F442" s="2" t="str">
        <f>INDEX(IndiGo_Flight_Data!$R$2:$R$11,MATCH(Table1_1[[#This Row],[Route]],_xlfn.ANCHORARRAY(IndiGo_Flight_Data!$Q$2),0))</f>
        <v>Delhi - Goa</v>
      </c>
      <c r="G442" s="2" t="s">
        <v>17</v>
      </c>
      <c r="H442">
        <v>58</v>
      </c>
      <c r="I442">
        <v>78</v>
      </c>
      <c r="J442">
        <f>Table1_1[[#This Row],[Seat_Capacity]]-Table1_1[[#This Row],[Passengers]]</f>
        <v>20</v>
      </c>
      <c r="K442">
        <v>74.36</v>
      </c>
      <c r="L442" t="str" cm="1">
        <f t="array" ref="L442">_xlfn.IFS(Table1_1[[#This Row],[Load_Factor_%]]&lt;60,"Low",Table1_1[[#This Row],[Load_Factor_%]]&lt;85,"Intermediate",Table1_1[[#This Row],[Load_Factor_%]]&gt;=85,"High")</f>
        <v>Intermediate</v>
      </c>
      <c r="M442" s="4">
        <v>400665</v>
      </c>
      <c r="N442" s="4">
        <v>103802</v>
      </c>
      <c r="O442" s="4">
        <f>SUM(Table1_1[[#This Row],[Ticket_Revenue_INR]:[Cargo_Revenue_INR]])</f>
        <v>504467</v>
      </c>
      <c r="P442" s="4">
        <v>922612</v>
      </c>
      <c r="Q442" s="4">
        <v>1039024</v>
      </c>
      <c r="R442" s="4">
        <f>SUM(Table1_1[[#This Row],[Fuel_Cost_INR]:[Operating_Cost_INR]])</f>
        <v>1961636</v>
      </c>
      <c r="S442" s="4">
        <f>Table1_1[[#This Row],[Total_Revenue]]-Table1_1[[#This Row],[Total_Cost]]</f>
        <v>-1457169</v>
      </c>
      <c r="T442" s="9">
        <f>(Table1_1[[#This Row],[Total_Profit]]/Table1_1[[#This Row],[Total_Revenue]])</f>
        <v>-2.8885318563949673</v>
      </c>
      <c r="U442" s="5">
        <v>82</v>
      </c>
      <c r="V442" s="6" t="s">
        <v>18</v>
      </c>
      <c r="W442" s="8">
        <v>3.2</v>
      </c>
      <c r="X442" t="str" cm="1">
        <f t="array" ref="X442">_xlfn.IFS(Table1_1[[#This Row],[Customer_Rating]]&lt;3,"Poor",Table1_1[[#This Row],[Customer_Rating]]&lt;4,"Good",Table1_1[[#This Row],[Customer_Rating]]&gt;=4,"Excellent")</f>
        <v>Good</v>
      </c>
    </row>
    <row r="443" spans="1:24" x14ac:dyDescent="0.35">
      <c r="A443" s="2" t="s">
        <v>732</v>
      </c>
      <c r="B443" s="3">
        <v>46011</v>
      </c>
      <c r="C443" s="3" t="str">
        <f>TEXT(Table1_1[[#This Row],[Date]],"YYYY")</f>
        <v>2025</v>
      </c>
      <c r="D443" s="3" t="str">
        <f>TEXT(Table1_1[[#This Row],[Date]],"mmm")</f>
        <v>Dec</v>
      </c>
      <c r="E443" s="2" t="s">
        <v>76</v>
      </c>
      <c r="F443" s="2" t="str">
        <f>INDEX(IndiGo_Flight_Data!$R$2:$R$11,MATCH(Table1_1[[#This Row],[Route]],_xlfn.ANCHORARRAY(IndiGo_Flight_Data!$Q$2),0))</f>
        <v>Madras - Delhi</v>
      </c>
      <c r="G443" s="2" t="s">
        <v>17</v>
      </c>
      <c r="H443">
        <v>72</v>
      </c>
      <c r="I443">
        <v>78</v>
      </c>
      <c r="J443">
        <f>Table1_1[[#This Row],[Seat_Capacity]]-Table1_1[[#This Row],[Passengers]]</f>
        <v>6</v>
      </c>
      <c r="K443">
        <v>92.31</v>
      </c>
      <c r="L443" t="str" cm="1">
        <f t="array" ref="L443">_xlfn.IFS(Table1_1[[#This Row],[Load_Factor_%]]&lt;60,"Low",Table1_1[[#This Row],[Load_Factor_%]]&lt;85,"Intermediate",Table1_1[[#This Row],[Load_Factor_%]]&gt;=85,"High")</f>
        <v>High</v>
      </c>
      <c r="M443" s="4">
        <v>483379</v>
      </c>
      <c r="N443" s="4">
        <v>127390</v>
      </c>
      <c r="O443" s="4">
        <f>SUM(Table1_1[[#This Row],[Ticket_Revenue_INR]:[Cargo_Revenue_INR]])</f>
        <v>610769</v>
      </c>
      <c r="P443" s="4">
        <v>386480</v>
      </c>
      <c r="Q443" s="4">
        <v>549823</v>
      </c>
      <c r="R443" s="4">
        <f>SUM(Table1_1[[#This Row],[Fuel_Cost_INR]:[Operating_Cost_INR]])</f>
        <v>936303</v>
      </c>
      <c r="S443" s="4">
        <f>Table1_1[[#This Row],[Total_Revenue]]-Table1_1[[#This Row],[Total_Cost]]</f>
        <v>-325534</v>
      </c>
      <c r="T443" s="9">
        <f>(Table1_1[[#This Row],[Total_Profit]]/Table1_1[[#This Row],[Total_Revenue]])</f>
        <v>-0.5329903777041729</v>
      </c>
      <c r="U443" s="5">
        <v>82</v>
      </c>
      <c r="V443" s="6" t="s">
        <v>18</v>
      </c>
      <c r="W443" s="8">
        <v>4.3</v>
      </c>
      <c r="X443" t="str" cm="1">
        <f t="array" ref="X443">_xlfn.IFS(Table1_1[[#This Row],[Customer_Rating]]&lt;3,"Poor",Table1_1[[#This Row],[Customer_Rating]]&lt;4,"Good",Table1_1[[#This Row],[Customer_Rating]]&gt;=4,"Excellent")</f>
        <v>Excellent</v>
      </c>
    </row>
    <row r="444" spans="1:24" x14ac:dyDescent="0.35">
      <c r="A444" s="2" t="s">
        <v>734</v>
      </c>
      <c r="B444" s="3">
        <v>45749</v>
      </c>
      <c r="C444" s="3" t="str">
        <f>TEXT(Table1_1[[#This Row],[Date]],"YYYY")</f>
        <v>2025</v>
      </c>
      <c r="D444" s="3" t="str">
        <f>TEXT(Table1_1[[#This Row],[Date]],"mmm")</f>
        <v>Apr</v>
      </c>
      <c r="E444" s="2" t="s">
        <v>32</v>
      </c>
      <c r="F444" s="2" t="str">
        <f>INDEX(IndiGo_Flight_Data!$R$2:$R$11,MATCH(Table1_1[[#This Row],[Route]],_xlfn.ANCHORARRAY(IndiGo_Flight_Data!$Q$2),0))</f>
        <v>Bengaluru - Cochin</v>
      </c>
      <c r="G444" s="2" t="s">
        <v>17</v>
      </c>
      <c r="H444">
        <v>50</v>
      </c>
      <c r="I444">
        <v>78</v>
      </c>
      <c r="J444">
        <f>Table1_1[[#This Row],[Seat_Capacity]]-Table1_1[[#This Row],[Passengers]]</f>
        <v>28</v>
      </c>
      <c r="K444">
        <v>64.099999999999994</v>
      </c>
      <c r="L444" t="str" cm="1">
        <f t="array" ref="L444">_xlfn.IFS(Table1_1[[#This Row],[Load_Factor_%]]&lt;60,"Low",Table1_1[[#This Row],[Load_Factor_%]]&lt;85,"Intermediate",Table1_1[[#This Row],[Load_Factor_%]]&gt;=85,"High")</f>
        <v>Intermediate</v>
      </c>
      <c r="M444" s="4">
        <v>245644</v>
      </c>
      <c r="N444" s="4">
        <v>85404</v>
      </c>
      <c r="O444" s="4">
        <f>SUM(Table1_1[[#This Row],[Ticket_Revenue_INR]:[Cargo_Revenue_INR]])</f>
        <v>331048</v>
      </c>
      <c r="P444" s="4">
        <v>587159</v>
      </c>
      <c r="Q444" s="4">
        <v>1198398</v>
      </c>
      <c r="R444" s="4">
        <f>SUM(Table1_1[[#This Row],[Fuel_Cost_INR]:[Operating_Cost_INR]])</f>
        <v>1785557</v>
      </c>
      <c r="S444" s="4">
        <f>Table1_1[[#This Row],[Total_Revenue]]-Table1_1[[#This Row],[Total_Cost]]</f>
        <v>-1454509</v>
      </c>
      <c r="T444" s="9">
        <f>(Table1_1[[#This Row],[Total_Profit]]/Table1_1[[#This Row],[Total_Revenue]])</f>
        <v>-4.3936498634639083</v>
      </c>
      <c r="U444" s="5">
        <v>82</v>
      </c>
      <c r="V444" s="6" t="s">
        <v>18</v>
      </c>
      <c r="W444" s="8">
        <v>4.8</v>
      </c>
      <c r="X444" t="str" cm="1">
        <f t="array" ref="X444">_xlfn.IFS(Table1_1[[#This Row],[Customer_Rating]]&lt;3,"Poor",Table1_1[[#This Row],[Customer_Rating]]&lt;4,"Good",Table1_1[[#This Row],[Customer_Rating]]&gt;=4,"Excellent")</f>
        <v>Excellent</v>
      </c>
    </row>
    <row r="445" spans="1:24" x14ac:dyDescent="0.35">
      <c r="A445" s="2" t="s">
        <v>735</v>
      </c>
      <c r="B445" s="3">
        <v>45715</v>
      </c>
      <c r="C445" s="3" t="str">
        <f>TEXT(Table1_1[[#This Row],[Date]],"YYYY")</f>
        <v>2025</v>
      </c>
      <c r="D445" s="3" t="str">
        <f>TEXT(Table1_1[[#This Row],[Date]],"mmm")</f>
        <v>Feb</v>
      </c>
      <c r="E445" s="2" t="s">
        <v>29</v>
      </c>
      <c r="F445" s="2" t="str">
        <f>INDEX(IndiGo_Flight_Data!$R$2:$R$11,MATCH(Table1_1[[#This Row],[Route]],_xlfn.ANCHORARRAY(IndiGo_Flight_Data!$Q$2),0))</f>
        <v>Calacatta - Delhi</v>
      </c>
      <c r="G445" s="2" t="s">
        <v>43</v>
      </c>
      <c r="H445">
        <v>143</v>
      </c>
      <c r="I445">
        <v>232</v>
      </c>
      <c r="J445">
        <f>Table1_1[[#This Row],[Seat_Capacity]]-Table1_1[[#This Row],[Passengers]]</f>
        <v>89</v>
      </c>
      <c r="K445">
        <v>61.64</v>
      </c>
      <c r="L445" t="str" cm="1">
        <f t="array" ref="L445">_xlfn.IFS(Table1_1[[#This Row],[Load_Factor_%]]&lt;60,"Low",Table1_1[[#This Row],[Load_Factor_%]]&lt;85,"Intermediate",Table1_1[[#This Row],[Load_Factor_%]]&gt;=85,"High")</f>
        <v>Intermediate</v>
      </c>
      <c r="M445" s="4">
        <v>584761</v>
      </c>
      <c r="N445" s="4">
        <v>44070</v>
      </c>
      <c r="O445" s="4">
        <f>SUM(Table1_1[[#This Row],[Ticket_Revenue_INR]:[Cargo_Revenue_INR]])</f>
        <v>628831</v>
      </c>
      <c r="P445" s="4">
        <v>669072</v>
      </c>
      <c r="Q445" s="4">
        <v>990032</v>
      </c>
      <c r="R445" s="4">
        <f>SUM(Table1_1[[#This Row],[Fuel_Cost_INR]:[Operating_Cost_INR]])</f>
        <v>1659104</v>
      </c>
      <c r="S445" s="4">
        <f>Table1_1[[#This Row],[Total_Revenue]]-Table1_1[[#This Row],[Total_Cost]]</f>
        <v>-1030273</v>
      </c>
      <c r="T445" s="9">
        <f>(Table1_1[[#This Row],[Total_Profit]]/Table1_1[[#This Row],[Total_Revenue]])</f>
        <v>-1.6383940995275361</v>
      </c>
      <c r="U445" s="5">
        <v>48</v>
      </c>
      <c r="V445" s="6" t="s">
        <v>18</v>
      </c>
      <c r="W445" s="8">
        <v>4.3</v>
      </c>
      <c r="X445" t="str" cm="1">
        <f t="array" ref="X445">_xlfn.IFS(Table1_1[[#This Row],[Customer_Rating]]&lt;3,"Poor",Table1_1[[#This Row],[Customer_Rating]]&lt;4,"Good",Table1_1[[#This Row],[Customer_Rating]]&gt;=4,"Excellent")</f>
        <v>Excellent</v>
      </c>
    </row>
    <row r="446" spans="1:24" x14ac:dyDescent="0.35">
      <c r="A446" s="2" t="s">
        <v>736</v>
      </c>
      <c r="B446" s="3">
        <v>45817</v>
      </c>
      <c r="C446" s="3" t="str">
        <f>TEXT(Table1_1[[#This Row],[Date]],"YYYY")</f>
        <v>2025</v>
      </c>
      <c r="D446" s="3" t="str">
        <f>TEXT(Table1_1[[#This Row],[Date]],"mmm")</f>
        <v>Jun</v>
      </c>
      <c r="E446" s="2" t="s">
        <v>29</v>
      </c>
      <c r="F446" s="2" t="str">
        <f>INDEX(IndiGo_Flight_Data!$R$2:$R$11,MATCH(Table1_1[[#This Row],[Route]],_xlfn.ANCHORARRAY(IndiGo_Flight_Data!$Q$2),0))</f>
        <v>Calacatta - Delhi</v>
      </c>
      <c r="G446" s="2" t="s">
        <v>43</v>
      </c>
      <c r="H446">
        <v>157</v>
      </c>
      <c r="I446">
        <v>232</v>
      </c>
      <c r="J446">
        <f>Table1_1[[#This Row],[Seat_Capacity]]-Table1_1[[#This Row],[Passengers]]</f>
        <v>75</v>
      </c>
      <c r="K446">
        <v>67.67</v>
      </c>
      <c r="L446" t="str" cm="1">
        <f t="array" ref="L446">_xlfn.IFS(Table1_1[[#This Row],[Load_Factor_%]]&lt;60,"Low",Table1_1[[#This Row],[Load_Factor_%]]&lt;85,"Intermediate",Table1_1[[#This Row],[Load_Factor_%]]&gt;=85,"High")</f>
        <v>Intermediate</v>
      </c>
      <c r="M446" s="4">
        <v>561906</v>
      </c>
      <c r="N446" s="4">
        <v>40516</v>
      </c>
      <c r="O446" s="4">
        <f>SUM(Table1_1[[#This Row],[Ticket_Revenue_INR]:[Cargo_Revenue_INR]])</f>
        <v>602422</v>
      </c>
      <c r="P446" s="4">
        <v>278443</v>
      </c>
      <c r="Q446" s="4">
        <v>405827</v>
      </c>
      <c r="R446" s="4">
        <f>SUM(Table1_1[[#This Row],[Fuel_Cost_INR]:[Operating_Cost_INR]])</f>
        <v>684270</v>
      </c>
      <c r="S446" s="4">
        <f>Table1_1[[#This Row],[Total_Revenue]]-Table1_1[[#This Row],[Total_Cost]]</f>
        <v>-81848</v>
      </c>
      <c r="T446" s="9">
        <f>(Table1_1[[#This Row],[Total_Profit]]/Table1_1[[#This Row],[Total_Revenue]])</f>
        <v>-0.13586489205241509</v>
      </c>
      <c r="U446" s="5">
        <v>76</v>
      </c>
      <c r="V446" s="6" t="s">
        <v>18</v>
      </c>
      <c r="W446" s="8">
        <v>3.8</v>
      </c>
      <c r="X446" t="str" cm="1">
        <f t="array" ref="X446">_xlfn.IFS(Table1_1[[#This Row],[Customer_Rating]]&lt;3,"Poor",Table1_1[[#This Row],[Customer_Rating]]&lt;4,"Good",Table1_1[[#This Row],[Customer_Rating]]&gt;=4,"Excellent")</f>
        <v>Good</v>
      </c>
    </row>
    <row r="447" spans="1:24" x14ac:dyDescent="0.35">
      <c r="A447" s="2" t="s">
        <v>737</v>
      </c>
      <c r="B447" s="3">
        <v>45896</v>
      </c>
      <c r="C447" s="3" t="str">
        <f>TEXT(Table1_1[[#This Row],[Date]],"YYYY")</f>
        <v>2025</v>
      </c>
      <c r="D447" s="3" t="str">
        <f>TEXT(Table1_1[[#This Row],[Date]],"mmm")</f>
        <v>Aug</v>
      </c>
      <c r="E447" s="2" t="s">
        <v>117</v>
      </c>
      <c r="F447" s="2" t="str">
        <f>INDEX(IndiGo_Flight_Data!$R$2:$R$11,MATCH(Table1_1[[#This Row],[Route]],_xlfn.ANCHORARRAY(IndiGo_Flight_Data!$Q$2),0))</f>
        <v>Bengaluru - Calacatta</v>
      </c>
      <c r="G447" s="2" t="s">
        <v>24</v>
      </c>
      <c r="H447">
        <v>172</v>
      </c>
      <c r="I447">
        <v>180</v>
      </c>
      <c r="J447">
        <f>Table1_1[[#This Row],[Seat_Capacity]]-Table1_1[[#This Row],[Passengers]]</f>
        <v>8</v>
      </c>
      <c r="K447">
        <v>95.56</v>
      </c>
      <c r="L447" t="str" cm="1">
        <f t="array" ref="L447">_xlfn.IFS(Table1_1[[#This Row],[Load_Factor_%]]&lt;60,"Low",Table1_1[[#This Row],[Load_Factor_%]]&lt;85,"Intermediate",Table1_1[[#This Row],[Load_Factor_%]]&gt;=85,"High")</f>
        <v>High</v>
      </c>
      <c r="M447" s="4">
        <v>1376384</v>
      </c>
      <c r="N447" s="4">
        <v>114380</v>
      </c>
      <c r="O447" s="4">
        <f>SUM(Table1_1[[#This Row],[Ticket_Revenue_INR]:[Cargo_Revenue_INR]])</f>
        <v>1490764</v>
      </c>
      <c r="P447" s="4">
        <v>264458</v>
      </c>
      <c r="Q447" s="4">
        <v>531898</v>
      </c>
      <c r="R447" s="4">
        <f>SUM(Table1_1[[#This Row],[Fuel_Cost_INR]:[Operating_Cost_INR]])</f>
        <v>796356</v>
      </c>
      <c r="S447" s="4">
        <f>Table1_1[[#This Row],[Total_Revenue]]-Table1_1[[#This Row],[Total_Cost]]</f>
        <v>694408</v>
      </c>
      <c r="T447" s="9">
        <f>(Table1_1[[#This Row],[Total_Profit]]/Table1_1[[#This Row],[Total_Revenue]])</f>
        <v>0.46580679436852512</v>
      </c>
      <c r="U447" s="5">
        <v>83</v>
      </c>
      <c r="V447" s="6" t="s">
        <v>18</v>
      </c>
      <c r="W447" s="8">
        <v>3.5</v>
      </c>
      <c r="X447" t="str" cm="1">
        <f t="array" ref="X447">_xlfn.IFS(Table1_1[[#This Row],[Customer_Rating]]&lt;3,"Poor",Table1_1[[#This Row],[Customer_Rating]]&lt;4,"Good",Table1_1[[#This Row],[Customer_Rating]]&gt;=4,"Excellent")</f>
        <v>Good</v>
      </c>
    </row>
    <row r="448" spans="1:24" x14ac:dyDescent="0.35">
      <c r="A448" s="2" t="s">
        <v>738</v>
      </c>
      <c r="B448" s="3">
        <v>46019</v>
      </c>
      <c r="C448" s="3" t="str">
        <f>TEXT(Table1_1[[#This Row],[Date]],"YYYY")</f>
        <v>2025</v>
      </c>
      <c r="D448" s="3" t="str">
        <f>TEXT(Table1_1[[#This Row],[Date]],"mmm")</f>
        <v>Dec</v>
      </c>
      <c r="E448" s="2" t="s">
        <v>117</v>
      </c>
      <c r="F448" s="2" t="str">
        <f>INDEX(IndiGo_Flight_Data!$R$2:$R$11,MATCH(Table1_1[[#This Row],[Route]],_xlfn.ANCHORARRAY(IndiGo_Flight_Data!$Q$2),0))</f>
        <v>Bengaluru - Calacatta</v>
      </c>
      <c r="G448" s="2" t="s">
        <v>43</v>
      </c>
      <c r="H448">
        <v>226</v>
      </c>
      <c r="I448">
        <v>232</v>
      </c>
      <c r="J448">
        <f>Table1_1[[#This Row],[Seat_Capacity]]-Table1_1[[#This Row],[Passengers]]</f>
        <v>6</v>
      </c>
      <c r="K448">
        <v>97.41</v>
      </c>
      <c r="L448" t="str" cm="1">
        <f t="array" ref="L448">_xlfn.IFS(Table1_1[[#This Row],[Load_Factor_%]]&lt;60,"Low",Table1_1[[#This Row],[Load_Factor_%]]&lt;85,"Intermediate",Table1_1[[#This Row],[Load_Factor_%]]&gt;=85,"High")</f>
        <v>High</v>
      </c>
      <c r="M448" s="4">
        <v>1081592</v>
      </c>
      <c r="N448" s="4">
        <v>116453</v>
      </c>
      <c r="O448" s="4">
        <f>SUM(Table1_1[[#This Row],[Ticket_Revenue_INR]:[Cargo_Revenue_INR]])</f>
        <v>1198045</v>
      </c>
      <c r="P448" s="4">
        <v>1187576</v>
      </c>
      <c r="Q448" s="4">
        <v>1419292</v>
      </c>
      <c r="R448" s="4">
        <f>SUM(Table1_1[[#This Row],[Fuel_Cost_INR]:[Operating_Cost_INR]])</f>
        <v>2606868</v>
      </c>
      <c r="S448" s="4">
        <f>Table1_1[[#This Row],[Total_Revenue]]-Table1_1[[#This Row],[Total_Cost]]</f>
        <v>-1408823</v>
      </c>
      <c r="T448" s="9">
        <f>(Table1_1[[#This Row],[Total_Profit]]/Table1_1[[#This Row],[Total_Revenue]])</f>
        <v>-1.1759349607068181</v>
      </c>
      <c r="U448" s="5">
        <v>21</v>
      </c>
      <c r="V448" s="6" t="s">
        <v>18</v>
      </c>
      <c r="W448" s="8">
        <v>4.8</v>
      </c>
      <c r="X448" t="str" cm="1">
        <f t="array" ref="X448">_xlfn.IFS(Table1_1[[#This Row],[Customer_Rating]]&lt;3,"Poor",Table1_1[[#This Row],[Customer_Rating]]&lt;4,"Good",Table1_1[[#This Row],[Customer_Rating]]&gt;=4,"Excellent")</f>
        <v>Excellent</v>
      </c>
    </row>
    <row r="449" spans="1:24" x14ac:dyDescent="0.35">
      <c r="A449" s="2" t="s">
        <v>739</v>
      </c>
      <c r="B449" s="3">
        <v>45677</v>
      </c>
      <c r="C449" s="3" t="str">
        <f>TEXT(Table1_1[[#This Row],[Date]],"YYYY")</f>
        <v>2025</v>
      </c>
      <c r="D449" s="3" t="str">
        <f>TEXT(Table1_1[[#This Row],[Date]],"mmm")</f>
        <v>Jan</v>
      </c>
      <c r="E449" s="2" t="s">
        <v>32</v>
      </c>
      <c r="F449" s="2" t="str">
        <f>INDEX(IndiGo_Flight_Data!$R$2:$R$11,MATCH(Table1_1[[#This Row],[Route]],_xlfn.ANCHORARRAY(IndiGo_Flight_Data!$Q$2),0))</f>
        <v>Bengaluru - Cochin</v>
      </c>
      <c r="G449" s="2" t="s">
        <v>17</v>
      </c>
      <c r="H449">
        <v>64</v>
      </c>
      <c r="I449">
        <v>78</v>
      </c>
      <c r="J449">
        <f>Table1_1[[#This Row],[Seat_Capacity]]-Table1_1[[#This Row],[Passengers]]</f>
        <v>14</v>
      </c>
      <c r="K449">
        <v>82.05</v>
      </c>
      <c r="L449" t="str" cm="1">
        <f t="array" ref="L449">_xlfn.IFS(Table1_1[[#This Row],[Load_Factor_%]]&lt;60,"Low",Table1_1[[#This Row],[Load_Factor_%]]&lt;85,"Intermediate",Table1_1[[#This Row],[Load_Factor_%]]&gt;=85,"High")</f>
        <v>Intermediate</v>
      </c>
      <c r="M449" s="4">
        <v>327867</v>
      </c>
      <c r="N449" s="4">
        <v>60780</v>
      </c>
      <c r="O449" s="4">
        <f>SUM(Table1_1[[#This Row],[Ticket_Revenue_INR]:[Cargo_Revenue_INR]])</f>
        <v>388647</v>
      </c>
      <c r="P449" s="4">
        <v>334402</v>
      </c>
      <c r="Q449" s="4">
        <v>438747</v>
      </c>
      <c r="R449" s="4">
        <f>SUM(Table1_1[[#This Row],[Fuel_Cost_INR]:[Operating_Cost_INR]])</f>
        <v>773149</v>
      </c>
      <c r="S449" s="4">
        <f>Table1_1[[#This Row],[Total_Revenue]]-Table1_1[[#This Row],[Total_Cost]]</f>
        <v>-384502</v>
      </c>
      <c r="T449" s="9">
        <f>(Table1_1[[#This Row],[Total_Profit]]/Table1_1[[#This Row],[Total_Revenue]])</f>
        <v>-0.98933479481380271</v>
      </c>
      <c r="U449" s="5">
        <v>2</v>
      </c>
      <c r="V449" s="6" t="s">
        <v>33</v>
      </c>
      <c r="W449" s="8">
        <v>4.7</v>
      </c>
      <c r="X449" t="str" cm="1">
        <f t="array" ref="X449">_xlfn.IFS(Table1_1[[#This Row],[Customer_Rating]]&lt;3,"Poor",Table1_1[[#This Row],[Customer_Rating]]&lt;4,"Good",Table1_1[[#This Row],[Customer_Rating]]&gt;=4,"Excellent")</f>
        <v>Excellent</v>
      </c>
    </row>
    <row r="450" spans="1:24" x14ac:dyDescent="0.35">
      <c r="A450" s="2" t="s">
        <v>740</v>
      </c>
      <c r="B450" s="3">
        <v>45855</v>
      </c>
      <c r="C450" s="3" t="str">
        <f>TEXT(Table1_1[[#This Row],[Date]],"YYYY")</f>
        <v>2025</v>
      </c>
      <c r="D450" s="3" t="str">
        <f>TEXT(Table1_1[[#This Row],[Date]],"mmm")</f>
        <v>Jul</v>
      </c>
      <c r="E450" s="2" t="s">
        <v>39</v>
      </c>
      <c r="F450" s="2" t="str">
        <f>INDEX(IndiGo_Flight_Data!$R$2:$R$11,MATCH(Table1_1[[#This Row],[Route]],_xlfn.ANCHORARRAY(IndiGo_Flight_Data!$Q$2),0))</f>
        <v>Bengaluru - Delhi</v>
      </c>
      <c r="G450" s="2" t="s">
        <v>43</v>
      </c>
      <c r="H450">
        <v>216</v>
      </c>
      <c r="I450">
        <v>232</v>
      </c>
      <c r="J450">
        <f>Table1_1[[#This Row],[Seat_Capacity]]-Table1_1[[#This Row],[Passengers]]</f>
        <v>16</v>
      </c>
      <c r="K450">
        <v>93.1</v>
      </c>
      <c r="L450" t="str" cm="1">
        <f t="array" ref="L450">_xlfn.IFS(Table1_1[[#This Row],[Load_Factor_%]]&lt;60,"Low",Table1_1[[#This Row],[Load_Factor_%]]&lt;85,"Intermediate",Table1_1[[#This Row],[Load_Factor_%]]&gt;=85,"High")</f>
        <v>High</v>
      </c>
      <c r="M450" s="4">
        <v>985603</v>
      </c>
      <c r="N450" s="4">
        <v>76367</v>
      </c>
      <c r="O450" s="4">
        <f>SUM(Table1_1[[#This Row],[Ticket_Revenue_INR]:[Cargo_Revenue_INR]])</f>
        <v>1061970</v>
      </c>
      <c r="P450" s="4">
        <v>670332</v>
      </c>
      <c r="Q450" s="4">
        <v>1281153</v>
      </c>
      <c r="R450" s="4">
        <f>SUM(Table1_1[[#This Row],[Fuel_Cost_INR]:[Operating_Cost_INR]])</f>
        <v>1951485</v>
      </c>
      <c r="S450" s="4">
        <f>Table1_1[[#This Row],[Total_Revenue]]-Table1_1[[#This Row],[Total_Cost]]</f>
        <v>-889515</v>
      </c>
      <c r="T450" s="9">
        <f>(Table1_1[[#This Row],[Total_Profit]]/Table1_1[[#This Row],[Total_Revenue]])</f>
        <v>-0.83760840701714734</v>
      </c>
      <c r="U450" s="5">
        <v>72</v>
      </c>
      <c r="V450" s="6" t="s">
        <v>18</v>
      </c>
      <c r="W450" s="8">
        <v>3.4</v>
      </c>
      <c r="X450" t="str" cm="1">
        <f t="array" ref="X450">_xlfn.IFS(Table1_1[[#This Row],[Customer_Rating]]&lt;3,"Poor",Table1_1[[#This Row],[Customer_Rating]]&lt;4,"Good",Table1_1[[#This Row],[Customer_Rating]]&gt;=4,"Excellent")</f>
        <v>Good</v>
      </c>
    </row>
    <row r="451" spans="1:24" x14ac:dyDescent="0.35">
      <c r="A451" s="2" t="s">
        <v>741</v>
      </c>
      <c r="B451" s="3">
        <v>45797</v>
      </c>
      <c r="C451" s="3" t="str">
        <f>TEXT(Table1_1[[#This Row],[Date]],"YYYY")</f>
        <v>2025</v>
      </c>
      <c r="D451" s="3" t="str">
        <f>TEXT(Table1_1[[#This Row],[Date]],"mmm")</f>
        <v>May</v>
      </c>
      <c r="E451" s="2" t="s">
        <v>42</v>
      </c>
      <c r="F451" s="2" t="str">
        <f>INDEX(IndiGo_Flight_Data!$R$2:$R$11,MATCH(Table1_1[[#This Row],[Route]],_xlfn.ANCHORARRAY(IndiGo_Flight_Data!$Q$2),0))</f>
        <v>Bombay - Hyderabad</v>
      </c>
      <c r="G451" s="2" t="s">
        <v>43</v>
      </c>
      <c r="H451">
        <v>142</v>
      </c>
      <c r="I451">
        <v>232</v>
      </c>
      <c r="J451">
        <f>Table1_1[[#This Row],[Seat_Capacity]]-Table1_1[[#This Row],[Passengers]]</f>
        <v>90</v>
      </c>
      <c r="K451">
        <v>61.21</v>
      </c>
      <c r="L451" t="str" cm="1">
        <f t="array" ref="L451">_xlfn.IFS(Table1_1[[#This Row],[Load_Factor_%]]&lt;60,"Low",Table1_1[[#This Row],[Load_Factor_%]]&lt;85,"Intermediate",Table1_1[[#This Row],[Load_Factor_%]]&gt;=85,"High")</f>
        <v>Intermediate</v>
      </c>
      <c r="M451" s="4">
        <v>601145</v>
      </c>
      <c r="N451" s="4">
        <v>86486</v>
      </c>
      <c r="O451" s="4">
        <f>SUM(Table1_1[[#This Row],[Ticket_Revenue_INR]:[Cargo_Revenue_INR]])</f>
        <v>687631</v>
      </c>
      <c r="P451" s="4">
        <v>918508</v>
      </c>
      <c r="Q451" s="4">
        <v>1420792</v>
      </c>
      <c r="R451" s="4">
        <f>SUM(Table1_1[[#This Row],[Fuel_Cost_INR]:[Operating_Cost_INR]])</f>
        <v>2339300</v>
      </c>
      <c r="S451" s="4">
        <f>Table1_1[[#This Row],[Total_Revenue]]-Table1_1[[#This Row],[Total_Cost]]</f>
        <v>-1651669</v>
      </c>
      <c r="T451" s="9">
        <f>(Table1_1[[#This Row],[Total_Profit]]/Table1_1[[#This Row],[Total_Revenue]])</f>
        <v>-2.4019699519073456</v>
      </c>
      <c r="U451" s="5">
        <v>90</v>
      </c>
      <c r="V451" s="6" t="s">
        <v>18</v>
      </c>
      <c r="W451" s="8">
        <v>3.8</v>
      </c>
      <c r="X451" t="str" cm="1">
        <f t="array" ref="X451">_xlfn.IFS(Table1_1[[#This Row],[Customer_Rating]]&lt;3,"Poor",Table1_1[[#This Row],[Customer_Rating]]&lt;4,"Good",Table1_1[[#This Row],[Customer_Rating]]&gt;=4,"Excellent")</f>
        <v>Good</v>
      </c>
    </row>
    <row r="452" spans="1:24" x14ac:dyDescent="0.35">
      <c r="A452" s="2" t="s">
        <v>743</v>
      </c>
      <c r="B452" s="3">
        <v>45885</v>
      </c>
      <c r="C452" s="3" t="str">
        <f>TEXT(Table1_1[[#This Row],[Date]],"YYYY")</f>
        <v>2025</v>
      </c>
      <c r="D452" s="3" t="str">
        <f>TEXT(Table1_1[[#This Row],[Date]],"mmm")</f>
        <v>Aug</v>
      </c>
      <c r="E452" s="2" t="s">
        <v>21</v>
      </c>
      <c r="F452" s="2" t="str">
        <f>INDEX(IndiGo_Flight_Data!$R$2:$R$11,MATCH(Table1_1[[#This Row],[Route]],_xlfn.ANCHORARRAY(IndiGo_Flight_Data!$Q$2),0))</f>
        <v>Bengaluru - Hyderabad</v>
      </c>
      <c r="G452" s="2" t="s">
        <v>24</v>
      </c>
      <c r="H452">
        <v>125</v>
      </c>
      <c r="I452">
        <v>180</v>
      </c>
      <c r="J452">
        <f>Table1_1[[#This Row],[Seat_Capacity]]-Table1_1[[#This Row],[Passengers]]</f>
        <v>55</v>
      </c>
      <c r="K452">
        <v>69.44</v>
      </c>
      <c r="L452" t="str" cm="1">
        <f t="array" ref="L452">_xlfn.IFS(Table1_1[[#This Row],[Load_Factor_%]]&lt;60,"Low",Table1_1[[#This Row],[Load_Factor_%]]&lt;85,"Intermediate",Table1_1[[#This Row],[Load_Factor_%]]&gt;=85,"High")</f>
        <v>Intermediate</v>
      </c>
      <c r="M452" s="4">
        <v>1106066</v>
      </c>
      <c r="N452" s="4">
        <v>91095</v>
      </c>
      <c r="O452" s="4">
        <f>SUM(Table1_1[[#This Row],[Ticket_Revenue_INR]:[Cargo_Revenue_INR]])</f>
        <v>1197161</v>
      </c>
      <c r="P452" s="4">
        <v>846109</v>
      </c>
      <c r="Q452" s="4">
        <v>1506052</v>
      </c>
      <c r="R452" s="4">
        <f>SUM(Table1_1[[#This Row],[Fuel_Cost_INR]:[Operating_Cost_INR]])</f>
        <v>2352161</v>
      </c>
      <c r="S452" s="4">
        <f>Table1_1[[#This Row],[Total_Revenue]]-Table1_1[[#This Row],[Total_Cost]]</f>
        <v>-1155000</v>
      </c>
      <c r="T452" s="9">
        <f>(Table1_1[[#This Row],[Total_Profit]]/Table1_1[[#This Row],[Total_Revenue]])</f>
        <v>-0.96478251463253484</v>
      </c>
      <c r="U452" s="5">
        <v>15</v>
      </c>
      <c r="V452" s="6" t="s">
        <v>33</v>
      </c>
      <c r="W452" s="8">
        <v>3.8</v>
      </c>
      <c r="X452" t="str" cm="1">
        <f t="array" ref="X452">_xlfn.IFS(Table1_1[[#This Row],[Customer_Rating]]&lt;3,"Poor",Table1_1[[#This Row],[Customer_Rating]]&lt;4,"Good",Table1_1[[#This Row],[Customer_Rating]]&gt;=4,"Excellent")</f>
        <v>Good</v>
      </c>
    </row>
    <row r="453" spans="1:24" x14ac:dyDescent="0.35">
      <c r="A453" s="2" t="s">
        <v>744</v>
      </c>
      <c r="B453" s="3">
        <v>45976</v>
      </c>
      <c r="C453" s="3" t="str">
        <f>TEXT(Table1_1[[#This Row],[Date]],"YYYY")</f>
        <v>2025</v>
      </c>
      <c r="D453" s="3" t="str">
        <f>TEXT(Table1_1[[#This Row],[Date]],"mmm")</f>
        <v>Nov</v>
      </c>
      <c r="E453" s="2" t="s">
        <v>16</v>
      </c>
      <c r="F453" s="2" t="str">
        <f>INDEX(IndiGo_Flight_Data!$R$2:$R$11,MATCH(Table1_1[[#This Row],[Route]],_xlfn.ANCHORARRAY(IndiGo_Flight_Data!$Q$2),0))</f>
        <v>Delhi - Goa</v>
      </c>
      <c r="G453" s="2" t="s">
        <v>24</v>
      </c>
      <c r="H453">
        <v>109</v>
      </c>
      <c r="I453">
        <v>180</v>
      </c>
      <c r="J453">
        <f>Table1_1[[#This Row],[Seat_Capacity]]-Table1_1[[#This Row],[Passengers]]</f>
        <v>71</v>
      </c>
      <c r="K453">
        <v>60.56</v>
      </c>
      <c r="L453" t="str" cm="1">
        <f t="array" ref="L453">_xlfn.IFS(Table1_1[[#This Row],[Load_Factor_%]]&lt;60,"Low",Table1_1[[#This Row],[Load_Factor_%]]&lt;85,"Intermediate",Table1_1[[#This Row],[Load_Factor_%]]&gt;=85,"High")</f>
        <v>Intermediate</v>
      </c>
      <c r="M453" s="4">
        <v>493794</v>
      </c>
      <c r="N453" s="4">
        <v>96337</v>
      </c>
      <c r="O453" s="4">
        <f>SUM(Table1_1[[#This Row],[Ticket_Revenue_INR]:[Cargo_Revenue_INR]])</f>
        <v>590131</v>
      </c>
      <c r="P453" s="4">
        <v>1175883</v>
      </c>
      <c r="Q453" s="4">
        <v>1440108</v>
      </c>
      <c r="R453" s="4">
        <f>SUM(Table1_1[[#This Row],[Fuel_Cost_INR]:[Operating_Cost_INR]])</f>
        <v>2615991</v>
      </c>
      <c r="S453" s="4">
        <f>Table1_1[[#This Row],[Total_Revenue]]-Table1_1[[#This Row],[Total_Cost]]</f>
        <v>-2025860</v>
      </c>
      <c r="T453" s="9">
        <f>(Table1_1[[#This Row],[Total_Profit]]/Table1_1[[#This Row],[Total_Revenue]])</f>
        <v>-3.4328987970467573</v>
      </c>
      <c r="U453" s="5">
        <v>55</v>
      </c>
      <c r="V453" s="6" t="s">
        <v>18</v>
      </c>
      <c r="W453" s="8">
        <v>4.0999999999999996</v>
      </c>
      <c r="X453" t="str" cm="1">
        <f t="array" ref="X453">_xlfn.IFS(Table1_1[[#This Row],[Customer_Rating]]&lt;3,"Poor",Table1_1[[#This Row],[Customer_Rating]]&lt;4,"Good",Table1_1[[#This Row],[Customer_Rating]]&gt;=4,"Excellent")</f>
        <v>Excellent</v>
      </c>
    </row>
    <row r="454" spans="1:24" x14ac:dyDescent="0.35">
      <c r="A454" s="2" t="s">
        <v>745</v>
      </c>
      <c r="B454" s="3">
        <v>45954</v>
      </c>
      <c r="C454" s="3" t="str">
        <f>TEXT(Table1_1[[#This Row],[Date]],"YYYY")</f>
        <v>2025</v>
      </c>
      <c r="D454" s="3" t="str">
        <f>TEXT(Table1_1[[#This Row],[Date]],"mmm")</f>
        <v>Oct</v>
      </c>
      <c r="E454" s="2" t="s">
        <v>29</v>
      </c>
      <c r="F454" s="2" t="str">
        <f>INDEX(IndiGo_Flight_Data!$R$2:$R$11,MATCH(Table1_1[[#This Row],[Route]],_xlfn.ANCHORARRAY(IndiGo_Flight_Data!$Q$2),0))</f>
        <v>Calacatta - Delhi</v>
      </c>
      <c r="G454" s="2" t="s">
        <v>17</v>
      </c>
      <c r="H454">
        <v>75</v>
      </c>
      <c r="I454">
        <v>78</v>
      </c>
      <c r="J454">
        <f>Table1_1[[#This Row],[Seat_Capacity]]-Table1_1[[#This Row],[Passengers]]</f>
        <v>3</v>
      </c>
      <c r="K454">
        <v>96.15</v>
      </c>
      <c r="L454" t="str" cm="1">
        <f t="array" ref="L454">_xlfn.IFS(Table1_1[[#This Row],[Load_Factor_%]]&lt;60,"Low",Table1_1[[#This Row],[Load_Factor_%]]&lt;85,"Intermediate",Table1_1[[#This Row],[Load_Factor_%]]&gt;=85,"High")</f>
        <v>High</v>
      </c>
      <c r="M454" s="4">
        <v>551497</v>
      </c>
      <c r="N454" s="4">
        <v>52338</v>
      </c>
      <c r="O454" s="4">
        <f>SUM(Table1_1[[#This Row],[Ticket_Revenue_INR]:[Cargo_Revenue_INR]])</f>
        <v>603835</v>
      </c>
      <c r="P454" s="4">
        <v>1133991</v>
      </c>
      <c r="Q454" s="4">
        <v>1703968</v>
      </c>
      <c r="R454" s="4">
        <f>SUM(Table1_1[[#This Row],[Fuel_Cost_INR]:[Operating_Cost_INR]])</f>
        <v>2837959</v>
      </c>
      <c r="S454" s="4">
        <f>Table1_1[[#This Row],[Total_Revenue]]-Table1_1[[#This Row],[Total_Cost]]</f>
        <v>-2234124</v>
      </c>
      <c r="T454" s="9">
        <f>(Table1_1[[#This Row],[Total_Profit]]/Table1_1[[#This Row],[Total_Revenue]])</f>
        <v>-3.6998915266587726</v>
      </c>
      <c r="U454" s="5">
        <v>90</v>
      </c>
      <c r="V454" s="6" t="s">
        <v>18</v>
      </c>
      <c r="W454" s="8">
        <v>3.2</v>
      </c>
      <c r="X454" t="str" cm="1">
        <f t="array" ref="X454">_xlfn.IFS(Table1_1[[#This Row],[Customer_Rating]]&lt;3,"Poor",Table1_1[[#This Row],[Customer_Rating]]&lt;4,"Good",Table1_1[[#This Row],[Customer_Rating]]&gt;=4,"Excellent")</f>
        <v>Good</v>
      </c>
    </row>
    <row r="455" spans="1:24" x14ac:dyDescent="0.35">
      <c r="A455" s="2" t="s">
        <v>746</v>
      </c>
      <c r="B455" s="3">
        <v>45930</v>
      </c>
      <c r="C455" s="3" t="str">
        <f>TEXT(Table1_1[[#This Row],[Date]],"YYYY")</f>
        <v>2025</v>
      </c>
      <c r="D455" s="3" t="str">
        <f>TEXT(Table1_1[[#This Row],[Date]],"mmm")</f>
        <v>Sep</v>
      </c>
      <c r="E455" s="2" t="s">
        <v>39</v>
      </c>
      <c r="F455" s="2" t="str">
        <f>INDEX(IndiGo_Flight_Data!$R$2:$R$11,MATCH(Table1_1[[#This Row],[Route]],_xlfn.ANCHORARRAY(IndiGo_Flight_Data!$Q$2),0))</f>
        <v>Bengaluru - Delhi</v>
      </c>
      <c r="G455" s="2" t="s">
        <v>43</v>
      </c>
      <c r="H455">
        <v>221</v>
      </c>
      <c r="I455">
        <v>232</v>
      </c>
      <c r="J455">
        <f>Table1_1[[#This Row],[Seat_Capacity]]-Table1_1[[#This Row],[Passengers]]</f>
        <v>11</v>
      </c>
      <c r="K455">
        <v>95.26</v>
      </c>
      <c r="L455" t="str" cm="1">
        <f t="array" ref="L455">_xlfn.IFS(Table1_1[[#This Row],[Load_Factor_%]]&lt;60,"Low",Table1_1[[#This Row],[Load_Factor_%]]&lt;85,"Intermediate",Table1_1[[#This Row],[Load_Factor_%]]&gt;=85,"High")</f>
        <v>High</v>
      </c>
      <c r="M455" s="4">
        <v>1122523</v>
      </c>
      <c r="N455" s="4">
        <v>83957</v>
      </c>
      <c r="O455" s="4">
        <f>SUM(Table1_1[[#This Row],[Ticket_Revenue_INR]:[Cargo_Revenue_INR]])</f>
        <v>1206480</v>
      </c>
      <c r="P455" s="4">
        <v>1005951</v>
      </c>
      <c r="Q455" s="4">
        <v>1426536</v>
      </c>
      <c r="R455" s="4">
        <f>SUM(Table1_1[[#This Row],[Fuel_Cost_INR]:[Operating_Cost_INR]])</f>
        <v>2432487</v>
      </c>
      <c r="S455" s="4">
        <f>Table1_1[[#This Row],[Total_Revenue]]-Table1_1[[#This Row],[Total_Cost]]</f>
        <v>-1226007</v>
      </c>
      <c r="T455" s="9">
        <f>(Table1_1[[#This Row],[Total_Profit]]/Table1_1[[#This Row],[Total_Revenue]])</f>
        <v>-1.0161851004575293</v>
      </c>
      <c r="U455" s="5">
        <v>28</v>
      </c>
      <c r="V455" s="6" t="s">
        <v>18</v>
      </c>
      <c r="W455" s="8">
        <v>4.5999999999999996</v>
      </c>
      <c r="X455" t="str" cm="1">
        <f t="array" ref="X455">_xlfn.IFS(Table1_1[[#This Row],[Customer_Rating]]&lt;3,"Poor",Table1_1[[#This Row],[Customer_Rating]]&lt;4,"Good",Table1_1[[#This Row],[Customer_Rating]]&gt;=4,"Excellent")</f>
        <v>Excellent</v>
      </c>
    </row>
    <row r="456" spans="1:24" x14ac:dyDescent="0.35">
      <c r="A456" s="2" t="s">
        <v>747</v>
      </c>
      <c r="B456" s="3">
        <v>45710</v>
      </c>
      <c r="C456" s="3" t="str">
        <f>TEXT(Table1_1[[#This Row],[Date]],"YYYY")</f>
        <v>2025</v>
      </c>
      <c r="D456" s="3" t="str">
        <f>TEXT(Table1_1[[#This Row],[Date]],"mmm")</f>
        <v>Feb</v>
      </c>
      <c r="E456" s="2" t="s">
        <v>39</v>
      </c>
      <c r="F456" s="2" t="str">
        <f>INDEX(IndiGo_Flight_Data!$R$2:$R$11,MATCH(Table1_1[[#This Row],[Route]],_xlfn.ANCHORARRAY(IndiGo_Flight_Data!$Q$2),0))</f>
        <v>Bengaluru - Delhi</v>
      </c>
      <c r="G456" s="2" t="s">
        <v>43</v>
      </c>
      <c r="H456">
        <v>151</v>
      </c>
      <c r="I456">
        <v>232</v>
      </c>
      <c r="J456">
        <f>Table1_1[[#This Row],[Seat_Capacity]]-Table1_1[[#This Row],[Passengers]]</f>
        <v>81</v>
      </c>
      <c r="K456">
        <v>65.09</v>
      </c>
      <c r="L456" t="str" cm="1">
        <f t="array" ref="L456">_xlfn.IFS(Table1_1[[#This Row],[Load_Factor_%]]&lt;60,"Low",Table1_1[[#This Row],[Load_Factor_%]]&lt;85,"Intermediate",Table1_1[[#This Row],[Load_Factor_%]]&gt;=85,"High")</f>
        <v>Intermediate</v>
      </c>
      <c r="M456" s="4">
        <v>705205</v>
      </c>
      <c r="N456" s="4">
        <v>112711</v>
      </c>
      <c r="O456" s="4">
        <f>SUM(Table1_1[[#This Row],[Ticket_Revenue_INR]:[Cargo_Revenue_INR]])</f>
        <v>817916</v>
      </c>
      <c r="P456" s="4">
        <v>383713</v>
      </c>
      <c r="Q456" s="4">
        <v>871063</v>
      </c>
      <c r="R456" s="4">
        <f>SUM(Table1_1[[#This Row],[Fuel_Cost_INR]:[Operating_Cost_INR]])</f>
        <v>1254776</v>
      </c>
      <c r="S456" s="4">
        <f>Table1_1[[#This Row],[Total_Revenue]]-Table1_1[[#This Row],[Total_Cost]]</f>
        <v>-436860</v>
      </c>
      <c r="T456" s="9">
        <f>(Table1_1[[#This Row],[Total_Profit]]/Table1_1[[#This Row],[Total_Revenue]])</f>
        <v>-0.53411352755050645</v>
      </c>
      <c r="U456" s="5">
        <v>22</v>
      </c>
      <c r="V456" s="6" t="s">
        <v>18</v>
      </c>
      <c r="W456" s="8">
        <v>3.6</v>
      </c>
      <c r="X456" t="str" cm="1">
        <f t="array" ref="X456">_xlfn.IFS(Table1_1[[#This Row],[Customer_Rating]]&lt;3,"Poor",Table1_1[[#This Row],[Customer_Rating]]&lt;4,"Good",Table1_1[[#This Row],[Customer_Rating]]&gt;=4,"Excellent")</f>
        <v>Good</v>
      </c>
    </row>
    <row r="457" spans="1:24" x14ac:dyDescent="0.35">
      <c r="A457" s="2" t="s">
        <v>749</v>
      </c>
      <c r="B457" s="3">
        <v>45783</v>
      </c>
      <c r="C457" s="3" t="str">
        <f>TEXT(Table1_1[[#This Row],[Date]],"YYYY")</f>
        <v>2025</v>
      </c>
      <c r="D457" s="3" t="str">
        <f>TEXT(Table1_1[[#This Row],[Date]],"mmm")</f>
        <v>May</v>
      </c>
      <c r="E457" s="2" t="s">
        <v>117</v>
      </c>
      <c r="F457" s="2" t="str">
        <f>INDEX(IndiGo_Flight_Data!$R$2:$R$11,MATCH(Table1_1[[#This Row],[Route]],_xlfn.ANCHORARRAY(IndiGo_Flight_Data!$Q$2),0))</f>
        <v>Bengaluru - Calacatta</v>
      </c>
      <c r="G457" s="2" t="s">
        <v>43</v>
      </c>
      <c r="H457">
        <v>221</v>
      </c>
      <c r="I457">
        <v>232</v>
      </c>
      <c r="J457">
        <f>Table1_1[[#This Row],[Seat_Capacity]]-Table1_1[[#This Row],[Passengers]]</f>
        <v>11</v>
      </c>
      <c r="K457">
        <v>95.26</v>
      </c>
      <c r="L457" t="str" cm="1">
        <f t="array" ref="L457">_xlfn.IFS(Table1_1[[#This Row],[Load_Factor_%]]&lt;60,"Low",Table1_1[[#This Row],[Load_Factor_%]]&lt;85,"Intermediate",Table1_1[[#This Row],[Load_Factor_%]]&gt;=85,"High")</f>
        <v>High</v>
      </c>
      <c r="M457" s="4">
        <v>1090797</v>
      </c>
      <c r="N457" s="4">
        <v>68203</v>
      </c>
      <c r="O457" s="4">
        <f>SUM(Table1_1[[#This Row],[Ticket_Revenue_INR]:[Cargo_Revenue_INR]])</f>
        <v>1159000</v>
      </c>
      <c r="P457" s="4">
        <v>1128686</v>
      </c>
      <c r="Q457" s="4">
        <v>1267258</v>
      </c>
      <c r="R457" s="4">
        <f>SUM(Table1_1[[#This Row],[Fuel_Cost_INR]:[Operating_Cost_INR]])</f>
        <v>2395944</v>
      </c>
      <c r="S457" s="4">
        <f>Table1_1[[#This Row],[Total_Revenue]]-Table1_1[[#This Row],[Total_Cost]]</f>
        <v>-1236944</v>
      </c>
      <c r="T457" s="9">
        <f>(Table1_1[[#This Row],[Total_Profit]]/Table1_1[[#This Row],[Total_Revenue]])</f>
        <v>-1.0672510785159621</v>
      </c>
      <c r="U457" s="5">
        <v>44</v>
      </c>
      <c r="V457" s="6" t="s">
        <v>18</v>
      </c>
      <c r="W457" s="8">
        <v>4.7</v>
      </c>
      <c r="X457" t="str" cm="1">
        <f t="array" ref="X457">_xlfn.IFS(Table1_1[[#This Row],[Customer_Rating]]&lt;3,"Poor",Table1_1[[#This Row],[Customer_Rating]]&lt;4,"Good",Table1_1[[#This Row],[Customer_Rating]]&gt;=4,"Excellent")</f>
        <v>Excellent</v>
      </c>
    </row>
    <row r="458" spans="1:24" x14ac:dyDescent="0.35">
      <c r="A458" s="2" t="s">
        <v>751</v>
      </c>
      <c r="B458" s="3">
        <v>46012</v>
      </c>
      <c r="C458" s="3" t="str">
        <f>TEXT(Table1_1[[#This Row],[Date]],"YYYY")</f>
        <v>2025</v>
      </c>
      <c r="D458" s="3" t="str">
        <f>TEXT(Table1_1[[#This Row],[Date]],"mmm")</f>
        <v>Dec</v>
      </c>
      <c r="E458" s="2" t="s">
        <v>59</v>
      </c>
      <c r="F458" s="2" t="str">
        <f>INDEX(IndiGo_Flight_Data!$R$2:$R$11,MATCH(Table1_1[[#This Row],[Route]],_xlfn.ANCHORARRAY(IndiGo_Flight_Data!$Q$2),0))</f>
        <v>Bengaluru - Bombay</v>
      </c>
      <c r="G458" s="2" t="s">
        <v>24</v>
      </c>
      <c r="H458">
        <v>118</v>
      </c>
      <c r="I458">
        <v>180</v>
      </c>
      <c r="J458">
        <f>Table1_1[[#This Row],[Seat_Capacity]]-Table1_1[[#This Row],[Passengers]]</f>
        <v>62</v>
      </c>
      <c r="K458">
        <v>65.56</v>
      </c>
      <c r="L458" t="str" cm="1">
        <f t="array" ref="L458">_xlfn.IFS(Table1_1[[#This Row],[Load_Factor_%]]&lt;60,"Low",Table1_1[[#This Row],[Load_Factor_%]]&lt;85,"Intermediate",Table1_1[[#This Row],[Load_Factor_%]]&gt;=85,"High")</f>
        <v>Intermediate</v>
      </c>
      <c r="M458" s="4">
        <v>799634</v>
      </c>
      <c r="N458" s="4">
        <v>130258</v>
      </c>
      <c r="O458" s="4">
        <f>SUM(Table1_1[[#This Row],[Ticket_Revenue_INR]:[Cargo_Revenue_INR]])</f>
        <v>929892</v>
      </c>
      <c r="P458" s="4">
        <v>1010519</v>
      </c>
      <c r="Q458" s="4">
        <v>1319956</v>
      </c>
      <c r="R458" s="4">
        <f>SUM(Table1_1[[#This Row],[Fuel_Cost_INR]:[Operating_Cost_INR]])</f>
        <v>2330475</v>
      </c>
      <c r="S458" s="4">
        <f>Table1_1[[#This Row],[Total_Revenue]]-Table1_1[[#This Row],[Total_Cost]]</f>
        <v>-1400583</v>
      </c>
      <c r="T458" s="9">
        <f>(Table1_1[[#This Row],[Total_Profit]]/Table1_1[[#This Row],[Total_Revenue]])</f>
        <v>-1.5061781368158882</v>
      </c>
      <c r="U458" s="5">
        <v>55</v>
      </c>
      <c r="V458" s="6" t="s">
        <v>18</v>
      </c>
      <c r="W458" s="8">
        <v>4.5999999999999996</v>
      </c>
      <c r="X458" t="str" cm="1">
        <f t="array" ref="X458">_xlfn.IFS(Table1_1[[#This Row],[Customer_Rating]]&lt;3,"Poor",Table1_1[[#This Row],[Customer_Rating]]&lt;4,"Good",Table1_1[[#This Row],[Customer_Rating]]&gt;=4,"Excellent")</f>
        <v>Excellent</v>
      </c>
    </row>
    <row r="459" spans="1:24" x14ac:dyDescent="0.35">
      <c r="A459" s="2" t="s">
        <v>752</v>
      </c>
      <c r="B459" s="3">
        <v>46011</v>
      </c>
      <c r="C459" s="3" t="str">
        <f>TEXT(Table1_1[[#This Row],[Date]],"YYYY")</f>
        <v>2025</v>
      </c>
      <c r="D459" s="3" t="str">
        <f>TEXT(Table1_1[[#This Row],[Date]],"mmm")</f>
        <v>Dec</v>
      </c>
      <c r="E459" s="2" t="s">
        <v>39</v>
      </c>
      <c r="F459" s="2" t="str">
        <f>INDEX(IndiGo_Flight_Data!$R$2:$R$11,MATCH(Table1_1[[#This Row],[Route]],_xlfn.ANCHORARRAY(IndiGo_Flight_Data!$Q$2),0))</f>
        <v>Bengaluru - Delhi</v>
      </c>
      <c r="G459" s="2" t="s">
        <v>24</v>
      </c>
      <c r="H459">
        <v>173</v>
      </c>
      <c r="I459">
        <v>180</v>
      </c>
      <c r="J459">
        <f>Table1_1[[#This Row],[Seat_Capacity]]-Table1_1[[#This Row],[Passengers]]</f>
        <v>7</v>
      </c>
      <c r="K459">
        <v>96.11</v>
      </c>
      <c r="L459" t="str" cm="1">
        <f t="array" ref="L459">_xlfn.IFS(Table1_1[[#This Row],[Load_Factor_%]]&lt;60,"Low",Table1_1[[#This Row],[Load_Factor_%]]&lt;85,"Intermediate",Table1_1[[#This Row],[Load_Factor_%]]&gt;=85,"High")</f>
        <v>High</v>
      </c>
      <c r="M459" s="4">
        <v>1135237</v>
      </c>
      <c r="N459" s="4">
        <v>79615</v>
      </c>
      <c r="O459" s="4">
        <f>SUM(Table1_1[[#This Row],[Ticket_Revenue_INR]:[Cargo_Revenue_INR]])</f>
        <v>1214852</v>
      </c>
      <c r="P459" s="4">
        <v>1059090</v>
      </c>
      <c r="Q459" s="4">
        <v>1259808</v>
      </c>
      <c r="R459" s="4">
        <f>SUM(Table1_1[[#This Row],[Fuel_Cost_INR]:[Operating_Cost_INR]])</f>
        <v>2318898</v>
      </c>
      <c r="S459" s="4">
        <f>Table1_1[[#This Row],[Total_Revenue]]-Table1_1[[#This Row],[Total_Cost]]</f>
        <v>-1104046</v>
      </c>
      <c r="T459" s="9">
        <f>(Table1_1[[#This Row],[Total_Profit]]/Table1_1[[#This Row],[Total_Revenue]])</f>
        <v>-0.90879053580189195</v>
      </c>
      <c r="U459" s="5">
        <v>17</v>
      </c>
      <c r="V459" s="6" t="s">
        <v>18</v>
      </c>
      <c r="W459" s="8">
        <v>3.9</v>
      </c>
      <c r="X459" t="str" cm="1">
        <f t="array" ref="X459">_xlfn.IFS(Table1_1[[#This Row],[Customer_Rating]]&lt;3,"Poor",Table1_1[[#This Row],[Customer_Rating]]&lt;4,"Good",Table1_1[[#This Row],[Customer_Rating]]&gt;=4,"Excellent")</f>
        <v>Good</v>
      </c>
    </row>
    <row r="460" spans="1:24" x14ac:dyDescent="0.35">
      <c r="A460" s="2" t="s">
        <v>753</v>
      </c>
      <c r="B460" s="3">
        <v>45913</v>
      </c>
      <c r="C460" s="3" t="str">
        <f>TEXT(Table1_1[[#This Row],[Date]],"YYYY")</f>
        <v>2025</v>
      </c>
      <c r="D460" s="3" t="str">
        <f>TEXT(Table1_1[[#This Row],[Date]],"mmm")</f>
        <v>Sep</v>
      </c>
      <c r="E460" s="2" t="s">
        <v>117</v>
      </c>
      <c r="F460" s="2" t="str">
        <f>INDEX(IndiGo_Flight_Data!$R$2:$R$11,MATCH(Table1_1[[#This Row],[Route]],_xlfn.ANCHORARRAY(IndiGo_Flight_Data!$Q$2),0))</f>
        <v>Bengaluru - Calacatta</v>
      </c>
      <c r="G460" s="2" t="s">
        <v>43</v>
      </c>
      <c r="H460">
        <v>212</v>
      </c>
      <c r="I460">
        <v>232</v>
      </c>
      <c r="J460">
        <f>Table1_1[[#This Row],[Seat_Capacity]]-Table1_1[[#This Row],[Passengers]]</f>
        <v>20</v>
      </c>
      <c r="K460">
        <v>91.38</v>
      </c>
      <c r="L460" t="str" cm="1">
        <f t="array" ref="L460">_xlfn.IFS(Table1_1[[#This Row],[Load_Factor_%]]&lt;60,"Low",Table1_1[[#This Row],[Load_Factor_%]]&lt;85,"Intermediate",Table1_1[[#This Row],[Load_Factor_%]]&gt;=85,"High")</f>
        <v>High</v>
      </c>
      <c r="M460" s="4">
        <v>1861170</v>
      </c>
      <c r="N460" s="4">
        <v>95926</v>
      </c>
      <c r="O460" s="4">
        <f>SUM(Table1_1[[#This Row],[Ticket_Revenue_INR]:[Cargo_Revenue_INR]])</f>
        <v>1957096</v>
      </c>
      <c r="P460" s="4">
        <v>439940</v>
      </c>
      <c r="Q460" s="4">
        <v>542535</v>
      </c>
      <c r="R460" s="4">
        <f>SUM(Table1_1[[#This Row],[Fuel_Cost_INR]:[Operating_Cost_INR]])</f>
        <v>982475</v>
      </c>
      <c r="S460" s="4">
        <f>Table1_1[[#This Row],[Total_Revenue]]-Table1_1[[#This Row],[Total_Cost]]</f>
        <v>974621</v>
      </c>
      <c r="T460" s="9">
        <f>(Table1_1[[#This Row],[Total_Profit]]/Table1_1[[#This Row],[Total_Revenue]])</f>
        <v>0.49799345560974012</v>
      </c>
      <c r="U460" s="5">
        <v>89</v>
      </c>
      <c r="V460" s="6" t="s">
        <v>18</v>
      </c>
      <c r="W460" s="8">
        <v>4.7</v>
      </c>
      <c r="X460" t="str" cm="1">
        <f t="array" ref="X460">_xlfn.IFS(Table1_1[[#This Row],[Customer_Rating]]&lt;3,"Poor",Table1_1[[#This Row],[Customer_Rating]]&lt;4,"Good",Table1_1[[#This Row],[Customer_Rating]]&gt;=4,"Excellent")</f>
        <v>Excellent</v>
      </c>
    </row>
    <row r="461" spans="1:24" x14ac:dyDescent="0.35">
      <c r="A461" s="2" t="s">
        <v>754</v>
      </c>
      <c r="B461" s="3">
        <v>45794</v>
      </c>
      <c r="C461" s="3" t="str">
        <f>TEXT(Table1_1[[#This Row],[Date]],"YYYY")</f>
        <v>2025</v>
      </c>
      <c r="D461" s="3" t="str">
        <f>TEXT(Table1_1[[#This Row],[Date]],"mmm")</f>
        <v>May</v>
      </c>
      <c r="E461" s="2" t="s">
        <v>117</v>
      </c>
      <c r="F461" s="2" t="str">
        <f>INDEX(IndiGo_Flight_Data!$R$2:$R$11,MATCH(Table1_1[[#This Row],[Route]],_xlfn.ANCHORARRAY(IndiGo_Flight_Data!$Q$2),0))</f>
        <v>Bengaluru - Calacatta</v>
      </c>
      <c r="G461" s="2" t="s">
        <v>17</v>
      </c>
      <c r="H461">
        <v>57</v>
      </c>
      <c r="I461">
        <v>78</v>
      </c>
      <c r="J461">
        <f>Table1_1[[#This Row],[Seat_Capacity]]-Table1_1[[#This Row],[Passengers]]</f>
        <v>21</v>
      </c>
      <c r="K461">
        <v>73.08</v>
      </c>
      <c r="L461" t="str" cm="1">
        <f t="array" ref="L461">_xlfn.IFS(Table1_1[[#This Row],[Load_Factor_%]]&lt;60,"Low",Table1_1[[#This Row],[Load_Factor_%]]&lt;85,"Intermediate",Table1_1[[#This Row],[Load_Factor_%]]&gt;=85,"High")</f>
        <v>Intermediate</v>
      </c>
      <c r="M461" s="4">
        <v>486243</v>
      </c>
      <c r="N461" s="4">
        <v>29649</v>
      </c>
      <c r="O461" s="4">
        <f>SUM(Table1_1[[#This Row],[Ticket_Revenue_INR]:[Cargo_Revenue_INR]])</f>
        <v>515892</v>
      </c>
      <c r="P461" s="4">
        <v>314991</v>
      </c>
      <c r="Q461" s="4">
        <v>461166</v>
      </c>
      <c r="R461" s="4">
        <f>SUM(Table1_1[[#This Row],[Fuel_Cost_INR]:[Operating_Cost_INR]])</f>
        <v>776157</v>
      </c>
      <c r="S461" s="4">
        <f>Table1_1[[#This Row],[Total_Revenue]]-Table1_1[[#This Row],[Total_Cost]]</f>
        <v>-260265</v>
      </c>
      <c r="T461" s="9">
        <f>(Table1_1[[#This Row],[Total_Profit]]/Table1_1[[#This Row],[Total_Revenue]])</f>
        <v>-0.50449512688702292</v>
      </c>
      <c r="U461" s="5">
        <v>71</v>
      </c>
      <c r="V461" s="6" t="s">
        <v>18</v>
      </c>
      <c r="W461" s="8">
        <v>3.3</v>
      </c>
      <c r="X461" t="str" cm="1">
        <f t="array" ref="X461">_xlfn.IFS(Table1_1[[#This Row],[Customer_Rating]]&lt;3,"Poor",Table1_1[[#This Row],[Customer_Rating]]&lt;4,"Good",Table1_1[[#This Row],[Customer_Rating]]&gt;=4,"Excellent")</f>
        <v>Good</v>
      </c>
    </row>
    <row r="462" spans="1:24" x14ac:dyDescent="0.35">
      <c r="A462" s="2" t="s">
        <v>755</v>
      </c>
      <c r="B462" s="3">
        <v>45911</v>
      </c>
      <c r="C462" s="3" t="str">
        <f>TEXT(Table1_1[[#This Row],[Date]],"YYYY")</f>
        <v>2025</v>
      </c>
      <c r="D462" s="3" t="str">
        <f>TEXT(Table1_1[[#This Row],[Date]],"mmm")</f>
        <v>Sep</v>
      </c>
      <c r="E462" s="2" t="s">
        <v>29</v>
      </c>
      <c r="F462" s="2" t="str">
        <f>INDEX(IndiGo_Flight_Data!$R$2:$R$11,MATCH(Table1_1[[#This Row],[Route]],_xlfn.ANCHORARRAY(IndiGo_Flight_Data!$Q$2),0))</f>
        <v>Calacatta - Delhi</v>
      </c>
      <c r="G462" s="2" t="s">
        <v>24</v>
      </c>
      <c r="H462">
        <v>128</v>
      </c>
      <c r="I462">
        <v>180</v>
      </c>
      <c r="J462">
        <f>Table1_1[[#This Row],[Seat_Capacity]]-Table1_1[[#This Row],[Passengers]]</f>
        <v>52</v>
      </c>
      <c r="K462">
        <v>71.11</v>
      </c>
      <c r="L462" t="str" cm="1">
        <f t="array" ref="L462">_xlfn.IFS(Table1_1[[#This Row],[Load_Factor_%]]&lt;60,"Low",Table1_1[[#This Row],[Load_Factor_%]]&lt;85,"Intermediate",Table1_1[[#This Row],[Load_Factor_%]]&gt;=85,"High")</f>
        <v>Intermediate</v>
      </c>
      <c r="M462" s="4">
        <v>1109547</v>
      </c>
      <c r="N462" s="4">
        <v>141585</v>
      </c>
      <c r="O462" s="4">
        <f>SUM(Table1_1[[#This Row],[Ticket_Revenue_INR]:[Cargo_Revenue_INR]])</f>
        <v>1251132</v>
      </c>
      <c r="P462" s="4">
        <v>1056460</v>
      </c>
      <c r="Q462" s="4">
        <v>1610064</v>
      </c>
      <c r="R462" s="4">
        <f>SUM(Table1_1[[#This Row],[Fuel_Cost_INR]:[Operating_Cost_INR]])</f>
        <v>2666524</v>
      </c>
      <c r="S462" s="4">
        <f>Table1_1[[#This Row],[Total_Revenue]]-Table1_1[[#This Row],[Total_Cost]]</f>
        <v>-1415392</v>
      </c>
      <c r="T462" s="9">
        <f>(Table1_1[[#This Row],[Total_Profit]]/Table1_1[[#This Row],[Total_Revenue]])</f>
        <v>-1.131289104586886</v>
      </c>
      <c r="U462" s="5">
        <v>8</v>
      </c>
      <c r="V462" s="6" t="s">
        <v>33</v>
      </c>
      <c r="W462" s="8">
        <v>4.3</v>
      </c>
      <c r="X462" t="str" cm="1">
        <f t="array" ref="X462">_xlfn.IFS(Table1_1[[#This Row],[Customer_Rating]]&lt;3,"Poor",Table1_1[[#This Row],[Customer_Rating]]&lt;4,"Good",Table1_1[[#This Row],[Customer_Rating]]&gt;=4,"Excellent")</f>
        <v>Excellent</v>
      </c>
    </row>
    <row r="463" spans="1:24" x14ac:dyDescent="0.35">
      <c r="A463" s="2" t="s">
        <v>756</v>
      </c>
      <c r="B463" s="3">
        <v>45885</v>
      </c>
      <c r="C463" s="3" t="str">
        <f>TEXT(Table1_1[[#This Row],[Date]],"YYYY")</f>
        <v>2025</v>
      </c>
      <c r="D463" s="3" t="str">
        <f>TEXT(Table1_1[[#This Row],[Date]],"mmm")</f>
        <v>Aug</v>
      </c>
      <c r="E463" s="2" t="s">
        <v>36</v>
      </c>
      <c r="F463" s="2" t="str">
        <f>INDEX(IndiGo_Flight_Data!$R$2:$R$11,MATCH(Table1_1[[#This Row],[Route]],_xlfn.ANCHORARRAY(IndiGo_Flight_Data!$Q$2),0))</f>
        <v>Delhi - Bombay</v>
      </c>
      <c r="G463" s="2" t="s">
        <v>17</v>
      </c>
      <c r="H463">
        <v>69</v>
      </c>
      <c r="I463">
        <v>78</v>
      </c>
      <c r="J463">
        <f>Table1_1[[#This Row],[Seat_Capacity]]-Table1_1[[#This Row],[Passengers]]</f>
        <v>9</v>
      </c>
      <c r="K463">
        <v>88.46</v>
      </c>
      <c r="L463" t="str" cm="1">
        <f t="array" ref="L463">_xlfn.IFS(Table1_1[[#This Row],[Load_Factor_%]]&lt;60,"Low",Table1_1[[#This Row],[Load_Factor_%]]&lt;85,"Intermediate",Table1_1[[#This Row],[Load_Factor_%]]&gt;=85,"High")</f>
        <v>High</v>
      </c>
      <c r="M463" s="4">
        <v>574659</v>
      </c>
      <c r="N463" s="4">
        <v>41055</v>
      </c>
      <c r="O463" s="4">
        <f>SUM(Table1_1[[#This Row],[Ticket_Revenue_INR]:[Cargo_Revenue_INR]])</f>
        <v>615714</v>
      </c>
      <c r="P463" s="4">
        <v>652996</v>
      </c>
      <c r="Q463" s="4">
        <v>1161455</v>
      </c>
      <c r="R463" s="4">
        <f>SUM(Table1_1[[#This Row],[Fuel_Cost_INR]:[Operating_Cost_INR]])</f>
        <v>1814451</v>
      </c>
      <c r="S463" s="4">
        <f>Table1_1[[#This Row],[Total_Revenue]]-Table1_1[[#This Row],[Total_Cost]]</f>
        <v>-1198737</v>
      </c>
      <c r="T463" s="9">
        <f>(Table1_1[[#This Row],[Total_Profit]]/Table1_1[[#This Row],[Total_Revenue]])</f>
        <v>-1.946905543807677</v>
      </c>
      <c r="U463" s="5">
        <v>48</v>
      </c>
      <c r="V463" s="6" t="s">
        <v>18</v>
      </c>
      <c r="W463" s="8">
        <v>4.8</v>
      </c>
      <c r="X463" t="str" cm="1">
        <f t="array" ref="X463">_xlfn.IFS(Table1_1[[#This Row],[Customer_Rating]]&lt;3,"Poor",Table1_1[[#This Row],[Customer_Rating]]&lt;4,"Good",Table1_1[[#This Row],[Customer_Rating]]&gt;=4,"Excellent")</f>
        <v>Excellent</v>
      </c>
    </row>
    <row r="464" spans="1:24" x14ac:dyDescent="0.35">
      <c r="A464" s="2" t="s">
        <v>757</v>
      </c>
      <c r="B464" s="3">
        <v>45699</v>
      </c>
      <c r="C464" s="3" t="str">
        <f>TEXT(Table1_1[[#This Row],[Date]],"YYYY")</f>
        <v>2025</v>
      </c>
      <c r="D464" s="3" t="str">
        <f>TEXT(Table1_1[[#This Row],[Date]],"mmm")</f>
        <v>Feb</v>
      </c>
      <c r="E464" s="2" t="s">
        <v>16</v>
      </c>
      <c r="F464" s="2" t="str">
        <f>INDEX(IndiGo_Flight_Data!$R$2:$R$11,MATCH(Table1_1[[#This Row],[Route]],_xlfn.ANCHORARRAY(IndiGo_Flight_Data!$Q$2),0))</f>
        <v>Delhi - Goa</v>
      </c>
      <c r="G464" s="2" t="s">
        <v>24</v>
      </c>
      <c r="H464">
        <v>110</v>
      </c>
      <c r="I464">
        <v>180</v>
      </c>
      <c r="J464">
        <f>Table1_1[[#This Row],[Seat_Capacity]]-Table1_1[[#This Row],[Passengers]]</f>
        <v>70</v>
      </c>
      <c r="K464">
        <v>61.11</v>
      </c>
      <c r="L464" t="str" cm="1">
        <f t="array" ref="L464">_xlfn.IFS(Table1_1[[#This Row],[Load_Factor_%]]&lt;60,"Low",Table1_1[[#This Row],[Load_Factor_%]]&lt;85,"Intermediate",Table1_1[[#This Row],[Load_Factor_%]]&gt;=85,"High")</f>
        <v>Intermediate</v>
      </c>
      <c r="M464" s="4">
        <v>573278</v>
      </c>
      <c r="N464" s="4">
        <v>38414</v>
      </c>
      <c r="O464" s="4">
        <f>SUM(Table1_1[[#This Row],[Ticket_Revenue_INR]:[Cargo_Revenue_INR]])</f>
        <v>611692</v>
      </c>
      <c r="P464" s="4">
        <v>323052</v>
      </c>
      <c r="Q464" s="4">
        <v>527352</v>
      </c>
      <c r="R464" s="4">
        <f>SUM(Table1_1[[#This Row],[Fuel_Cost_INR]:[Operating_Cost_INR]])</f>
        <v>850404</v>
      </c>
      <c r="S464" s="4">
        <f>Table1_1[[#This Row],[Total_Revenue]]-Table1_1[[#This Row],[Total_Cost]]</f>
        <v>-238712</v>
      </c>
      <c r="T464" s="9">
        <f>(Table1_1[[#This Row],[Total_Profit]]/Table1_1[[#This Row],[Total_Revenue]])</f>
        <v>-0.39024868724783063</v>
      </c>
      <c r="U464" s="5">
        <v>18</v>
      </c>
      <c r="V464" s="6" t="s">
        <v>18</v>
      </c>
      <c r="W464" s="8">
        <v>3.7</v>
      </c>
      <c r="X464" t="str" cm="1">
        <f t="array" ref="X464">_xlfn.IFS(Table1_1[[#This Row],[Customer_Rating]]&lt;3,"Poor",Table1_1[[#This Row],[Customer_Rating]]&lt;4,"Good",Table1_1[[#This Row],[Customer_Rating]]&gt;=4,"Excellent")</f>
        <v>Good</v>
      </c>
    </row>
    <row r="465" spans="1:24" x14ac:dyDescent="0.35">
      <c r="A465" s="2" t="s">
        <v>759</v>
      </c>
      <c r="B465" s="3">
        <v>45894</v>
      </c>
      <c r="C465" s="3" t="str">
        <f>TEXT(Table1_1[[#This Row],[Date]],"YYYY")</f>
        <v>2025</v>
      </c>
      <c r="D465" s="3" t="str">
        <f>TEXT(Table1_1[[#This Row],[Date]],"mmm")</f>
        <v>Aug</v>
      </c>
      <c r="E465" s="2" t="s">
        <v>36</v>
      </c>
      <c r="F465" s="2" t="str">
        <f>INDEX(IndiGo_Flight_Data!$R$2:$R$11,MATCH(Table1_1[[#This Row],[Route]],_xlfn.ANCHORARRAY(IndiGo_Flight_Data!$Q$2),0))</f>
        <v>Delhi - Bombay</v>
      </c>
      <c r="G465" s="2" t="s">
        <v>17</v>
      </c>
      <c r="H465">
        <v>71</v>
      </c>
      <c r="I465">
        <v>78</v>
      </c>
      <c r="J465">
        <f>Table1_1[[#This Row],[Seat_Capacity]]-Table1_1[[#This Row],[Passengers]]</f>
        <v>7</v>
      </c>
      <c r="K465">
        <v>91.03</v>
      </c>
      <c r="L465" t="str" cm="1">
        <f t="array" ref="L465">_xlfn.IFS(Table1_1[[#This Row],[Load_Factor_%]]&lt;60,"Low",Table1_1[[#This Row],[Load_Factor_%]]&lt;85,"Intermediate",Table1_1[[#This Row],[Load_Factor_%]]&gt;=85,"High")</f>
        <v>High</v>
      </c>
      <c r="M465" s="4">
        <v>479435</v>
      </c>
      <c r="N465" s="4">
        <v>22669</v>
      </c>
      <c r="O465" s="4">
        <f>SUM(Table1_1[[#This Row],[Ticket_Revenue_INR]:[Cargo_Revenue_INR]])</f>
        <v>502104</v>
      </c>
      <c r="P465" s="4">
        <v>907012</v>
      </c>
      <c r="Q465" s="4">
        <v>1557358</v>
      </c>
      <c r="R465" s="4">
        <f>SUM(Table1_1[[#This Row],[Fuel_Cost_INR]:[Operating_Cost_INR]])</f>
        <v>2464370</v>
      </c>
      <c r="S465" s="4">
        <f>Table1_1[[#This Row],[Total_Revenue]]-Table1_1[[#This Row],[Total_Cost]]</f>
        <v>-1962266</v>
      </c>
      <c r="T465" s="9">
        <f>(Table1_1[[#This Row],[Total_Profit]]/Table1_1[[#This Row],[Total_Revenue]])</f>
        <v>-3.9080867708681866</v>
      </c>
      <c r="U465" s="5">
        <v>70</v>
      </c>
      <c r="V465" s="6" t="s">
        <v>18</v>
      </c>
      <c r="W465" s="8">
        <v>4.7</v>
      </c>
      <c r="X465" t="str" cm="1">
        <f t="array" ref="X465">_xlfn.IFS(Table1_1[[#This Row],[Customer_Rating]]&lt;3,"Poor",Table1_1[[#This Row],[Customer_Rating]]&lt;4,"Good",Table1_1[[#This Row],[Customer_Rating]]&gt;=4,"Excellent")</f>
        <v>Excellent</v>
      </c>
    </row>
    <row r="466" spans="1:24" x14ac:dyDescent="0.35">
      <c r="A466" s="2" t="s">
        <v>760</v>
      </c>
      <c r="B466" s="3">
        <v>45702</v>
      </c>
      <c r="C466" s="3" t="str">
        <f>TEXT(Table1_1[[#This Row],[Date]],"YYYY")</f>
        <v>2025</v>
      </c>
      <c r="D466" s="3" t="str">
        <f>TEXT(Table1_1[[#This Row],[Date]],"mmm")</f>
        <v>Feb</v>
      </c>
      <c r="E466" s="2" t="s">
        <v>29</v>
      </c>
      <c r="F466" s="2" t="str">
        <f>INDEX(IndiGo_Flight_Data!$R$2:$R$11,MATCH(Table1_1[[#This Row],[Route]],_xlfn.ANCHORARRAY(IndiGo_Flight_Data!$Q$2),0))</f>
        <v>Calacatta - Delhi</v>
      </c>
      <c r="G466" s="2" t="s">
        <v>17</v>
      </c>
      <c r="H466">
        <v>51</v>
      </c>
      <c r="I466">
        <v>78</v>
      </c>
      <c r="J466">
        <f>Table1_1[[#This Row],[Seat_Capacity]]-Table1_1[[#This Row],[Passengers]]</f>
        <v>27</v>
      </c>
      <c r="K466">
        <v>65.38</v>
      </c>
      <c r="L466" t="str" cm="1">
        <f t="array" ref="L466">_xlfn.IFS(Table1_1[[#This Row],[Load_Factor_%]]&lt;60,"Low",Table1_1[[#This Row],[Load_Factor_%]]&lt;85,"Intermediate",Table1_1[[#This Row],[Load_Factor_%]]&gt;=85,"High")</f>
        <v>Intermediate</v>
      </c>
      <c r="M466" s="4">
        <v>191493</v>
      </c>
      <c r="N466" s="4">
        <v>27279</v>
      </c>
      <c r="O466" s="4">
        <f>SUM(Table1_1[[#This Row],[Ticket_Revenue_INR]:[Cargo_Revenue_INR]])</f>
        <v>218772</v>
      </c>
      <c r="P466" s="4">
        <v>408942</v>
      </c>
      <c r="Q466" s="4">
        <v>963308</v>
      </c>
      <c r="R466" s="4">
        <f>SUM(Table1_1[[#This Row],[Fuel_Cost_INR]:[Operating_Cost_INR]])</f>
        <v>1372250</v>
      </c>
      <c r="S466" s="4">
        <f>Table1_1[[#This Row],[Total_Revenue]]-Table1_1[[#This Row],[Total_Cost]]</f>
        <v>-1153478</v>
      </c>
      <c r="T466" s="9">
        <f>(Table1_1[[#This Row],[Total_Profit]]/Table1_1[[#This Row],[Total_Revenue]])</f>
        <v>-5.2725120216481089</v>
      </c>
      <c r="U466" s="5">
        <v>39</v>
      </c>
      <c r="V466" s="6" t="s">
        <v>18</v>
      </c>
      <c r="W466" s="8">
        <v>4.5</v>
      </c>
      <c r="X466" t="str" cm="1">
        <f t="array" ref="X466">_xlfn.IFS(Table1_1[[#This Row],[Customer_Rating]]&lt;3,"Poor",Table1_1[[#This Row],[Customer_Rating]]&lt;4,"Good",Table1_1[[#This Row],[Customer_Rating]]&gt;=4,"Excellent")</f>
        <v>Excellent</v>
      </c>
    </row>
    <row r="467" spans="1:24" x14ac:dyDescent="0.35">
      <c r="A467" s="2" t="s">
        <v>761</v>
      </c>
      <c r="B467" s="3">
        <v>45819</v>
      </c>
      <c r="C467" s="3" t="str">
        <f>TEXT(Table1_1[[#This Row],[Date]],"YYYY")</f>
        <v>2025</v>
      </c>
      <c r="D467" s="3" t="str">
        <f>TEXT(Table1_1[[#This Row],[Date]],"mmm")</f>
        <v>Jun</v>
      </c>
      <c r="E467" s="2" t="s">
        <v>16</v>
      </c>
      <c r="F467" s="2" t="str">
        <f>INDEX(IndiGo_Flight_Data!$R$2:$R$11,MATCH(Table1_1[[#This Row],[Route]],_xlfn.ANCHORARRAY(IndiGo_Flight_Data!$Q$2),0))</f>
        <v>Delhi - Goa</v>
      </c>
      <c r="G467" s="2" t="s">
        <v>17</v>
      </c>
      <c r="H467">
        <v>64</v>
      </c>
      <c r="I467">
        <v>78</v>
      </c>
      <c r="J467">
        <f>Table1_1[[#This Row],[Seat_Capacity]]-Table1_1[[#This Row],[Passengers]]</f>
        <v>14</v>
      </c>
      <c r="K467">
        <v>82.05</v>
      </c>
      <c r="L467" t="str" cm="1">
        <f t="array" ref="L467">_xlfn.IFS(Table1_1[[#This Row],[Load_Factor_%]]&lt;60,"Low",Table1_1[[#This Row],[Load_Factor_%]]&lt;85,"Intermediate",Table1_1[[#This Row],[Load_Factor_%]]&gt;=85,"High")</f>
        <v>Intermediate</v>
      </c>
      <c r="M467" s="4">
        <v>528954</v>
      </c>
      <c r="N467" s="4">
        <v>108141</v>
      </c>
      <c r="O467" s="4">
        <f>SUM(Table1_1[[#This Row],[Ticket_Revenue_INR]:[Cargo_Revenue_INR]])</f>
        <v>637095</v>
      </c>
      <c r="P467" s="4">
        <v>905840</v>
      </c>
      <c r="Q467" s="4">
        <v>1597721</v>
      </c>
      <c r="R467" s="4">
        <f>SUM(Table1_1[[#This Row],[Fuel_Cost_INR]:[Operating_Cost_INR]])</f>
        <v>2503561</v>
      </c>
      <c r="S467" s="4">
        <f>Table1_1[[#This Row],[Total_Revenue]]-Table1_1[[#This Row],[Total_Cost]]</f>
        <v>-1866466</v>
      </c>
      <c r="T467" s="9">
        <f>(Table1_1[[#This Row],[Total_Profit]]/Table1_1[[#This Row],[Total_Revenue]])</f>
        <v>-2.9296509939647932</v>
      </c>
      <c r="U467" s="5">
        <v>84</v>
      </c>
      <c r="V467" s="6" t="s">
        <v>18</v>
      </c>
      <c r="W467" s="8">
        <v>4.9000000000000004</v>
      </c>
      <c r="X467" t="str" cm="1">
        <f t="array" ref="X467">_xlfn.IFS(Table1_1[[#This Row],[Customer_Rating]]&lt;3,"Poor",Table1_1[[#This Row],[Customer_Rating]]&lt;4,"Good",Table1_1[[#This Row],[Customer_Rating]]&gt;=4,"Excellent")</f>
        <v>Excellent</v>
      </c>
    </row>
    <row r="468" spans="1:24" x14ac:dyDescent="0.35">
      <c r="A468" s="2" t="s">
        <v>762</v>
      </c>
      <c r="B468" s="3">
        <v>45762</v>
      </c>
      <c r="C468" s="3" t="str">
        <f>TEXT(Table1_1[[#This Row],[Date]],"YYYY")</f>
        <v>2025</v>
      </c>
      <c r="D468" s="3" t="str">
        <f>TEXT(Table1_1[[#This Row],[Date]],"mmm")</f>
        <v>Apr</v>
      </c>
      <c r="E468" s="2" t="s">
        <v>76</v>
      </c>
      <c r="F468" s="2" t="str">
        <f>INDEX(IndiGo_Flight_Data!$R$2:$R$11,MATCH(Table1_1[[#This Row],[Route]],_xlfn.ANCHORARRAY(IndiGo_Flight_Data!$Q$2),0))</f>
        <v>Madras - Delhi</v>
      </c>
      <c r="G468" s="2" t="s">
        <v>17</v>
      </c>
      <c r="H468">
        <v>49</v>
      </c>
      <c r="I468">
        <v>78</v>
      </c>
      <c r="J468">
        <f>Table1_1[[#This Row],[Seat_Capacity]]-Table1_1[[#This Row],[Passengers]]</f>
        <v>29</v>
      </c>
      <c r="K468">
        <v>62.82</v>
      </c>
      <c r="L468" t="str" cm="1">
        <f t="array" ref="L468">_xlfn.IFS(Table1_1[[#This Row],[Load_Factor_%]]&lt;60,"Low",Table1_1[[#This Row],[Load_Factor_%]]&lt;85,"Intermediate",Table1_1[[#This Row],[Load_Factor_%]]&gt;=85,"High")</f>
        <v>Intermediate</v>
      </c>
      <c r="M468" s="4">
        <v>348378</v>
      </c>
      <c r="N468" s="4">
        <v>92729</v>
      </c>
      <c r="O468" s="4">
        <f>SUM(Table1_1[[#This Row],[Ticket_Revenue_INR]:[Cargo_Revenue_INR]])</f>
        <v>441107</v>
      </c>
      <c r="P468" s="4">
        <v>332827</v>
      </c>
      <c r="Q468" s="4">
        <v>756932</v>
      </c>
      <c r="R468" s="4">
        <f>SUM(Table1_1[[#This Row],[Fuel_Cost_INR]:[Operating_Cost_INR]])</f>
        <v>1089759</v>
      </c>
      <c r="S468" s="4">
        <f>Table1_1[[#This Row],[Total_Revenue]]-Table1_1[[#This Row],[Total_Cost]]</f>
        <v>-648652</v>
      </c>
      <c r="T468" s="9">
        <f>(Table1_1[[#This Row],[Total_Profit]]/Table1_1[[#This Row],[Total_Revenue]])</f>
        <v>-1.4705094228837901</v>
      </c>
      <c r="U468" s="5">
        <v>90</v>
      </c>
      <c r="V468" s="6" t="s">
        <v>18</v>
      </c>
      <c r="W468" s="8">
        <v>4.5</v>
      </c>
      <c r="X468" t="str" cm="1">
        <f t="array" ref="X468">_xlfn.IFS(Table1_1[[#This Row],[Customer_Rating]]&lt;3,"Poor",Table1_1[[#This Row],[Customer_Rating]]&lt;4,"Good",Table1_1[[#This Row],[Customer_Rating]]&gt;=4,"Excellent")</f>
        <v>Excellent</v>
      </c>
    </row>
    <row r="469" spans="1:24" x14ac:dyDescent="0.35">
      <c r="A469" s="2" t="s">
        <v>763</v>
      </c>
      <c r="B469" s="3">
        <v>45887</v>
      </c>
      <c r="C469" s="3" t="str">
        <f>TEXT(Table1_1[[#This Row],[Date]],"YYYY")</f>
        <v>2025</v>
      </c>
      <c r="D469" s="3" t="str">
        <f>TEXT(Table1_1[[#This Row],[Date]],"mmm")</f>
        <v>Aug</v>
      </c>
      <c r="E469" s="2" t="s">
        <v>42</v>
      </c>
      <c r="F469" s="2" t="str">
        <f>INDEX(IndiGo_Flight_Data!$R$2:$R$11,MATCH(Table1_1[[#This Row],[Route]],_xlfn.ANCHORARRAY(IndiGo_Flight_Data!$Q$2),0))</f>
        <v>Bombay - Hyderabad</v>
      </c>
      <c r="G469" s="2" t="s">
        <v>17</v>
      </c>
      <c r="H469">
        <v>75</v>
      </c>
      <c r="I469">
        <v>78</v>
      </c>
      <c r="J469">
        <f>Table1_1[[#This Row],[Seat_Capacity]]-Table1_1[[#This Row],[Passengers]]</f>
        <v>3</v>
      </c>
      <c r="K469">
        <v>96.15</v>
      </c>
      <c r="L469" t="str" cm="1">
        <f t="array" ref="L469">_xlfn.IFS(Table1_1[[#This Row],[Load_Factor_%]]&lt;60,"Low",Table1_1[[#This Row],[Load_Factor_%]]&lt;85,"Intermediate",Table1_1[[#This Row],[Load_Factor_%]]&gt;=85,"High")</f>
        <v>High</v>
      </c>
      <c r="M469" s="4">
        <v>264269</v>
      </c>
      <c r="N469" s="4">
        <v>40508</v>
      </c>
      <c r="O469" s="4">
        <f>SUM(Table1_1[[#This Row],[Ticket_Revenue_INR]:[Cargo_Revenue_INR]])</f>
        <v>304777</v>
      </c>
      <c r="P469" s="4">
        <v>1193151</v>
      </c>
      <c r="Q469" s="4">
        <v>1850834</v>
      </c>
      <c r="R469" s="4">
        <f>SUM(Table1_1[[#This Row],[Fuel_Cost_INR]:[Operating_Cost_INR]])</f>
        <v>3043985</v>
      </c>
      <c r="S469" s="4">
        <f>Table1_1[[#This Row],[Total_Revenue]]-Table1_1[[#This Row],[Total_Cost]]</f>
        <v>-2739208</v>
      </c>
      <c r="T469" s="9">
        <f>(Table1_1[[#This Row],[Total_Profit]]/Table1_1[[#This Row],[Total_Revenue]])</f>
        <v>-8.9875810838744385</v>
      </c>
      <c r="U469" s="5">
        <v>1</v>
      </c>
      <c r="V469" s="6" t="s">
        <v>33</v>
      </c>
      <c r="W469" s="8">
        <v>3.9</v>
      </c>
      <c r="X469" t="str" cm="1">
        <f t="array" ref="X469">_xlfn.IFS(Table1_1[[#This Row],[Customer_Rating]]&lt;3,"Poor",Table1_1[[#This Row],[Customer_Rating]]&lt;4,"Good",Table1_1[[#This Row],[Customer_Rating]]&gt;=4,"Excellent")</f>
        <v>Good</v>
      </c>
    </row>
    <row r="470" spans="1:24" x14ac:dyDescent="0.35">
      <c r="A470" s="2" t="s">
        <v>764</v>
      </c>
      <c r="B470" s="3">
        <v>45744</v>
      </c>
      <c r="C470" s="3" t="str">
        <f>TEXT(Table1_1[[#This Row],[Date]],"YYYY")</f>
        <v>2025</v>
      </c>
      <c r="D470" s="3" t="str">
        <f>TEXT(Table1_1[[#This Row],[Date]],"mmm")</f>
        <v>Mar</v>
      </c>
      <c r="E470" s="2" t="s">
        <v>117</v>
      </c>
      <c r="F470" s="2" t="str">
        <f>INDEX(IndiGo_Flight_Data!$R$2:$R$11,MATCH(Table1_1[[#This Row],[Route]],_xlfn.ANCHORARRAY(IndiGo_Flight_Data!$Q$2),0))</f>
        <v>Bengaluru - Calacatta</v>
      </c>
      <c r="G470" s="2" t="s">
        <v>24</v>
      </c>
      <c r="H470">
        <v>153</v>
      </c>
      <c r="I470">
        <v>180</v>
      </c>
      <c r="J470">
        <f>Table1_1[[#This Row],[Seat_Capacity]]-Table1_1[[#This Row],[Passengers]]</f>
        <v>27</v>
      </c>
      <c r="K470">
        <v>85</v>
      </c>
      <c r="L470" t="str" cm="1">
        <f t="array" ref="L470">_xlfn.IFS(Table1_1[[#This Row],[Load_Factor_%]]&lt;60,"Low",Table1_1[[#This Row],[Load_Factor_%]]&lt;85,"Intermediate",Table1_1[[#This Row],[Load_Factor_%]]&gt;=85,"High")</f>
        <v>High</v>
      </c>
      <c r="M470" s="4">
        <v>1275932</v>
      </c>
      <c r="N470" s="4">
        <v>147474</v>
      </c>
      <c r="O470" s="4">
        <f>SUM(Table1_1[[#This Row],[Ticket_Revenue_INR]:[Cargo_Revenue_INR]])</f>
        <v>1423406</v>
      </c>
      <c r="P470" s="4">
        <v>1033098</v>
      </c>
      <c r="Q470" s="4">
        <v>1191369</v>
      </c>
      <c r="R470" s="4">
        <f>SUM(Table1_1[[#This Row],[Fuel_Cost_INR]:[Operating_Cost_INR]])</f>
        <v>2224467</v>
      </c>
      <c r="S470" s="4">
        <f>Table1_1[[#This Row],[Total_Revenue]]-Table1_1[[#This Row],[Total_Cost]]</f>
        <v>-801061</v>
      </c>
      <c r="T470" s="9">
        <f>(Table1_1[[#This Row],[Total_Profit]]/Table1_1[[#This Row],[Total_Revenue]])</f>
        <v>-0.5627775912143127</v>
      </c>
      <c r="U470" s="5">
        <v>34</v>
      </c>
      <c r="V470" s="6" t="s">
        <v>18</v>
      </c>
      <c r="W470" s="8">
        <v>3.4</v>
      </c>
      <c r="X470" t="str" cm="1">
        <f t="array" ref="X470">_xlfn.IFS(Table1_1[[#This Row],[Customer_Rating]]&lt;3,"Poor",Table1_1[[#This Row],[Customer_Rating]]&lt;4,"Good",Table1_1[[#This Row],[Customer_Rating]]&gt;=4,"Excellent")</f>
        <v>Good</v>
      </c>
    </row>
    <row r="471" spans="1:24" x14ac:dyDescent="0.35">
      <c r="A471" s="2" t="s">
        <v>765</v>
      </c>
      <c r="B471" s="3">
        <v>45884</v>
      </c>
      <c r="C471" s="3" t="str">
        <f>TEXT(Table1_1[[#This Row],[Date]],"YYYY")</f>
        <v>2025</v>
      </c>
      <c r="D471" s="3" t="str">
        <f>TEXT(Table1_1[[#This Row],[Date]],"mmm")</f>
        <v>Aug</v>
      </c>
      <c r="E471" s="2" t="s">
        <v>42</v>
      </c>
      <c r="F471" s="2" t="str">
        <f>INDEX(IndiGo_Flight_Data!$R$2:$R$11,MATCH(Table1_1[[#This Row],[Route]],_xlfn.ANCHORARRAY(IndiGo_Flight_Data!$Q$2),0))</f>
        <v>Bombay - Hyderabad</v>
      </c>
      <c r="G471" s="2" t="s">
        <v>43</v>
      </c>
      <c r="H471">
        <v>152</v>
      </c>
      <c r="I471">
        <v>232</v>
      </c>
      <c r="J471">
        <f>Table1_1[[#This Row],[Seat_Capacity]]-Table1_1[[#This Row],[Passengers]]</f>
        <v>80</v>
      </c>
      <c r="K471">
        <v>65.52</v>
      </c>
      <c r="L471" t="str" cm="1">
        <f t="array" ref="L471">_xlfn.IFS(Table1_1[[#This Row],[Load_Factor_%]]&lt;60,"Low",Table1_1[[#This Row],[Load_Factor_%]]&lt;85,"Intermediate",Table1_1[[#This Row],[Load_Factor_%]]&gt;=85,"High")</f>
        <v>Intermediate</v>
      </c>
      <c r="M471" s="4">
        <v>755810</v>
      </c>
      <c r="N471" s="4">
        <v>53018</v>
      </c>
      <c r="O471" s="4">
        <f>SUM(Table1_1[[#This Row],[Ticket_Revenue_INR]:[Cargo_Revenue_INR]])</f>
        <v>808828</v>
      </c>
      <c r="P471" s="4">
        <v>627655</v>
      </c>
      <c r="Q471" s="4">
        <v>776230</v>
      </c>
      <c r="R471" s="4">
        <f>SUM(Table1_1[[#This Row],[Fuel_Cost_INR]:[Operating_Cost_INR]])</f>
        <v>1403885</v>
      </c>
      <c r="S471" s="4">
        <f>Table1_1[[#This Row],[Total_Revenue]]-Table1_1[[#This Row],[Total_Cost]]</f>
        <v>-595057</v>
      </c>
      <c r="T471" s="9">
        <f>(Table1_1[[#This Row],[Total_Profit]]/Table1_1[[#This Row],[Total_Revenue]])</f>
        <v>-0.7357027699337807</v>
      </c>
      <c r="U471" s="5">
        <v>14</v>
      </c>
      <c r="V471" s="6" t="s">
        <v>33</v>
      </c>
      <c r="W471" s="8">
        <v>4.7</v>
      </c>
      <c r="X471" t="str" cm="1">
        <f t="array" ref="X471">_xlfn.IFS(Table1_1[[#This Row],[Customer_Rating]]&lt;3,"Poor",Table1_1[[#This Row],[Customer_Rating]]&lt;4,"Good",Table1_1[[#This Row],[Customer_Rating]]&gt;=4,"Excellent")</f>
        <v>Excellent</v>
      </c>
    </row>
    <row r="472" spans="1:24" x14ac:dyDescent="0.35">
      <c r="A472" s="2" t="s">
        <v>766</v>
      </c>
      <c r="B472" s="3">
        <v>45752</v>
      </c>
      <c r="C472" s="3" t="str">
        <f>TEXT(Table1_1[[#This Row],[Date]],"YYYY")</f>
        <v>2025</v>
      </c>
      <c r="D472" s="3" t="str">
        <f>TEXT(Table1_1[[#This Row],[Date]],"mmm")</f>
        <v>Apr</v>
      </c>
      <c r="E472" s="2" t="s">
        <v>21</v>
      </c>
      <c r="F472" s="2" t="str">
        <f>INDEX(IndiGo_Flight_Data!$R$2:$R$11,MATCH(Table1_1[[#This Row],[Route]],_xlfn.ANCHORARRAY(IndiGo_Flight_Data!$Q$2),0))</f>
        <v>Bengaluru - Hyderabad</v>
      </c>
      <c r="G472" s="2" t="s">
        <v>24</v>
      </c>
      <c r="H472">
        <v>144</v>
      </c>
      <c r="I472">
        <v>180</v>
      </c>
      <c r="J472">
        <f>Table1_1[[#This Row],[Seat_Capacity]]-Table1_1[[#This Row],[Passengers]]</f>
        <v>36</v>
      </c>
      <c r="K472">
        <v>80</v>
      </c>
      <c r="L472" t="str" cm="1">
        <f t="array" ref="L472">_xlfn.IFS(Table1_1[[#This Row],[Load_Factor_%]]&lt;60,"Low",Table1_1[[#This Row],[Load_Factor_%]]&lt;85,"Intermediate",Table1_1[[#This Row],[Load_Factor_%]]&gt;=85,"High")</f>
        <v>Intermediate</v>
      </c>
      <c r="M472" s="4">
        <v>689577</v>
      </c>
      <c r="N472" s="4">
        <v>72486</v>
      </c>
      <c r="O472" s="4">
        <f>SUM(Table1_1[[#This Row],[Ticket_Revenue_INR]:[Cargo_Revenue_INR]])</f>
        <v>762063</v>
      </c>
      <c r="P472" s="4">
        <v>681057</v>
      </c>
      <c r="Q472" s="4">
        <v>1039719</v>
      </c>
      <c r="R472" s="4">
        <f>SUM(Table1_1[[#This Row],[Fuel_Cost_INR]:[Operating_Cost_INR]])</f>
        <v>1720776</v>
      </c>
      <c r="S472" s="4">
        <f>Table1_1[[#This Row],[Total_Revenue]]-Table1_1[[#This Row],[Total_Cost]]</f>
        <v>-958713</v>
      </c>
      <c r="T472" s="9">
        <f>(Table1_1[[#This Row],[Total_Profit]]/Table1_1[[#This Row],[Total_Revenue]])</f>
        <v>-1.2580495313379603</v>
      </c>
      <c r="U472" s="5">
        <v>70</v>
      </c>
      <c r="V472" s="6" t="s">
        <v>18</v>
      </c>
      <c r="W472" s="8">
        <v>3.7</v>
      </c>
      <c r="X472" t="str" cm="1">
        <f t="array" ref="X472">_xlfn.IFS(Table1_1[[#This Row],[Customer_Rating]]&lt;3,"Poor",Table1_1[[#This Row],[Customer_Rating]]&lt;4,"Good",Table1_1[[#This Row],[Customer_Rating]]&gt;=4,"Excellent")</f>
        <v>Good</v>
      </c>
    </row>
    <row r="473" spans="1:24" x14ac:dyDescent="0.35">
      <c r="A473" s="2" t="s">
        <v>767</v>
      </c>
      <c r="B473" s="3">
        <v>45832</v>
      </c>
      <c r="C473" s="3" t="str">
        <f>TEXT(Table1_1[[#This Row],[Date]],"YYYY")</f>
        <v>2025</v>
      </c>
      <c r="D473" s="3" t="str">
        <f>TEXT(Table1_1[[#This Row],[Date]],"mmm")</f>
        <v>Jun</v>
      </c>
      <c r="E473" s="2" t="s">
        <v>36</v>
      </c>
      <c r="F473" s="2" t="str">
        <f>INDEX(IndiGo_Flight_Data!$R$2:$R$11,MATCH(Table1_1[[#This Row],[Route]],_xlfn.ANCHORARRAY(IndiGo_Flight_Data!$Q$2),0))</f>
        <v>Delhi - Bombay</v>
      </c>
      <c r="G473" s="2" t="s">
        <v>17</v>
      </c>
      <c r="H473">
        <v>55</v>
      </c>
      <c r="I473">
        <v>78</v>
      </c>
      <c r="J473">
        <f>Table1_1[[#This Row],[Seat_Capacity]]-Table1_1[[#This Row],[Passengers]]</f>
        <v>23</v>
      </c>
      <c r="K473">
        <v>70.510000000000005</v>
      </c>
      <c r="L473" t="str" cm="1">
        <f t="array" ref="L473">_xlfn.IFS(Table1_1[[#This Row],[Load_Factor_%]]&lt;60,"Low",Table1_1[[#This Row],[Load_Factor_%]]&lt;85,"Intermediate",Table1_1[[#This Row],[Load_Factor_%]]&gt;=85,"High")</f>
        <v>Intermediate</v>
      </c>
      <c r="M473" s="4">
        <v>218145</v>
      </c>
      <c r="N473" s="4">
        <v>119754</v>
      </c>
      <c r="O473" s="4">
        <f>SUM(Table1_1[[#This Row],[Ticket_Revenue_INR]:[Cargo_Revenue_INR]])</f>
        <v>337899</v>
      </c>
      <c r="P473" s="4">
        <v>765597</v>
      </c>
      <c r="Q473" s="4">
        <v>1116888</v>
      </c>
      <c r="R473" s="4">
        <f>SUM(Table1_1[[#This Row],[Fuel_Cost_INR]:[Operating_Cost_INR]])</f>
        <v>1882485</v>
      </c>
      <c r="S473" s="4">
        <f>Table1_1[[#This Row],[Total_Revenue]]-Table1_1[[#This Row],[Total_Cost]]</f>
        <v>-1544586</v>
      </c>
      <c r="T473" s="9">
        <f>(Table1_1[[#This Row],[Total_Profit]]/Table1_1[[#This Row],[Total_Revenue]])</f>
        <v>-4.571146999547202</v>
      </c>
      <c r="U473" s="5">
        <v>68</v>
      </c>
      <c r="V473" s="6" t="s">
        <v>18</v>
      </c>
      <c r="W473" s="8">
        <v>4.9000000000000004</v>
      </c>
      <c r="X473" t="str" cm="1">
        <f t="array" ref="X473">_xlfn.IFS(Table1_1[[#This Row],[Customer_Rating]]&lt;3,"Poor",Table1_1[[#This Row],[Customer_Rating]]&lt;4,"Good",Table1_1[[#This Row],[Customer_Rating]]&gt;=4,"Excellent")</f>
        <v>Excellent</v>
      </c>
    </row>
    <row r="474" spans="1:24" x14ac:dyDescent="0.35">
      <c r="A474" s="2" t="s">
        <v>768</v>
      </c>
      <c r="B474" s="3">
        <v>45798</v>
      </c>
      <c r="C474" s="3" t="str">
        <f>TEXT(Table1_1[[#This Row],[Date]],"YYYY")</f>
        <v>2025</v>
      </c>
      <c r="D474" s="3" t="str">
        <f>TEXT(Table1_1[[#This Row],[Date]],"mmm")</f>
        <v>May</v>
      </c>
      <c r="E474" s="2" t="s">
        <v>117</v>
      </c>
      <c r="F474" s="2" t="str">
        <f>INDEX(IndiGo_Flight_Data!$R$2:$R$11,MATCH(Table1_1[[#This Row],[Route]],_xlfn.ANCHORARRAY(IndiGo_Flight_Data!$Q$2),0))</f>
        <v>Bengaluru - Calacatta</v>
      </c>
      <c r="G474" s="2" t="s">
        <v>24</v>
      </c>
      <c r="H474">
        <v>166</v>
      </c>
      <c r="I474">
        <v>180</v>
      </c>
      <c r="J474">
        <f>Table1_1[[#This Row],[Seat_Capacity]]-Table1_1[[#This Row],[Passengers]]</f>
        <v>14</v>
      </c>
      <c r="K474">
        <v>92.22</v>
      </c>
      <c r="L474" t="str" cm="1">
        <f t="array" ref="L474">_xlfn.IFS(Table1_1[[#This Row],[Load_Factor_%]]&lt;60,"Low",Table1_1[[#This Row],[Load_Factor_%]]&lt;85,"Intermediate",Table1_1[[#This Row],[Load_Factor_%]]&gt;=85,"High")</f>
        <v>High</v>
      </c>
      <c r="M474" s="4">
        <v>1216159</v>
      </c>
      <c r="N474" s="4">
        <v>103021</v>
      </c>
      <c r="O474" s="4">
        <f>SUM(Table1_1[[#This Row],[Ticket_Revenue_INR]:[Cargo_Revenue_INR]])</f>
        <v>1319180</v>
      </c>
      <c r="P474" s="4">
        <v>920194</v>
      </c>
      <c r="Q474" s="4">
        <v>1204768</v>
      </c>
      <c r="R474" s="4">
        <f>SUM(Table1_1[[#This Row],[Fuel_Cost_INR]:[Operating_Cost_INR]])</f>
        <v>2124962</v>
      </c>
      <c r="S474" s="4">
        <f>Table1_1[[#This Row],[Total_Revenue]]-Table1_1[[#This Row],[Total_Cost]]</f>
        <v>-805782</v>
      </c>
      <c r="T474" s="9">
        <f>(Table1_1[[#This Row],[Total_Profit]]/Table1_1[[#This Row],[Total_Revenue]])</f>
        <v>-0.61082035810124469</v>
      </c>
      <c r="U474" s="5">
        <v>55</v>
      </c>
      <c r="V474" s="6" t="s">
        <v>18</v>
      </c>
      <c r="W474" s="8">
        <v>4.5</v>
      </c>
      <c r="X474" t="str" cm="1">
        <f t="array" ref="X474">_xlfn.IFS(Table1_1[[#This Row],[Customer_Rating]]&lt;3,"Poor",Table1_1[[#This Row],[Customer_Rating]]&lt;4,"Good",Table1_1[[#This Row],[Customer_Rating]]&gt;=4,"Excellent")</f>
        <v>Excellent</v>
      </c>
    </row>
    <row r="475" spans="1:24" x14ac:dyDescent="0.35">
      <c r="A475" s="2" t="s">
        <v>770</v>
      </c>
      <c r="B475" s="3">
        <v>45685</v>
      </c>
      <c r="C475" s="3" t="str">
        <f>TEXT(Table1_1[[#This Row],[Date]],"YYYY")</f>
        <v>2025</v>
      </c>
      <c r="D475" s="3" t="str">
        <f>TEXT(Table1_1[[#This Row],[Date]],"mmm")</f>
        <v>Jan</v>
      </c>
      <c r="E475" s="2" t="s">
        <v>36</v>
      </c>
      <c r="F475" s="2" t="str">
        <f>INDEX(IndiGo_Flight_Data!$R$2:$R$11,MATCH(Table1_1[[#This Row],[Route]],_xlfn.ANCHORARRAY(IndiGo_Flight_Data!$Q$2),0))</f>
        <v>Delhi - Bombay</v>
      </c>
      <c r="G475" s="2" t="s">
        <v>17</v>
      </c>
      <c r="H475">
        <v>60</v>
      </c>
      <c r="I475">
        <v>78</v>
      </c>
      <c r="J475">
        <f>Table1_1[[#This Row],[Seat_Capacity]]-Table1_1[[#This Row],[Passengers]]</f>
        <v>18</v>
      </c>
      <c r="K475">
        <v>76.92</v>
      </c>
      <c r="L475" t="str" cm="1">
        <f t="array" ref="L475">_xlfn.IFS(Table1_1[[#This Row],[Load_Factor_%]]&lt;60,"Low",Table1_1[[#This Row],[Load_Factor_%]]&lt;85,"Intermediate",Table1_1[[#This Row],[Load_Factor_%]]&gt;=85,"High")</f>
        <v>Intermediate</v>
      </c>
      <c r="M475" s="4">
        <v>384302</v>
      </c>
      <c r="N475" s="4">
        <v>15118</v>
      </c>
      <c r="O475" s="4">
        <f>SUM(Table1_1[[#This Row],[Ticket_Revenue_INR]:[Cargo_Revenue_INR]])</f>
        <v>399420</v>
      </c>
      <c r="P475" s="4">
        <v>878342</v>
      </c>
      <c r="Q475" s="4">
        <v>1498021</v>
      </c>
      <c r="R475" s="4">
        <f>SUM(Table1_1[[#This Row],[Fuel_Cost_INR]:[Operating_Cost_INR]])</f>
        <v>2376363</v>
      </c>
      <c r="S475" s="4">
        <f>Table1_1[[#This Row],[Total_Revenue]]-Table1_1[[#This Row],[Total_Cost]]</f>
        <v>-1976943</v>
      </c>
      <c r="T475" s="9">
        <f>(Table1_1[[#This Row],[Total_Profit]]/Table1_1[[#This Row],[Total_Revenue]])</f>
        <v>-4.9495343247709176</v>
      </c>
      <c r="U475" s="5">
        <v>86</v>
      </c>
      <c r="V475" s="6" t="s">
        <v>18</v>
      </c>
      <c r="W475" s="8">
        <v>4.7</v>
      </c>
      <c r="X475" t="str" cm="1">
        <f t="array" ref="X475">_xlfn.IFS(Table1_1[[#This Row],[Customer_Rating]]&lt;3,"Poor",Table1_1[[#This Row],[Customer_Rating]]&lt;4,"Good",Table1_1[[#This Row],[Customer_Rating]]&gt;=4,"Excellent")</f>
        <v>Excellent</v>
      </c>
    </row>
    <row r="476" spans="1:24" x14ac:dyDescent="0.35">
      <c r="A476" s="2" t="s">
        <v>771</v>
      </c>
      <c r="B476" s="3">
        <v>45885</v>
      </c>
      <c r="C476" s="3" t="str">
        <f>TEXT(Table1_1[[#This Row],[Date]],"YYYY")</f>
        <v>2025</v>
      </c>
      <c r="D476" s="3" t="str">
        <f>TEXT(Table1_1[[#This Row],[Date]],"mmm")</f>
        <v>Aug</v>
      </c>
      <c r="E476" s="2" t="s">
        <v>29</v>
      </c>
      <c r="F476" s="2" t="str">
        <f>INDEX(IndiGo_Flight_Data!$R$2:$R$11,MATCH(Table1_1[[#This Row],[Route]],_xlfn.ANCHORARRAY(IndiGo_Flight_Data!$Q$2),0))</f>
        <v>Calacatta - Delhi</v>
      </c>
      <c r="G476" s="2" t="s">
        <v>43</v>
      </c>
      <c r="H476">
        <v>153</v>
      </c>
      <c r="I476">
        <v>232</v>
      </c>
      <c r="J476">
        <f>Table1_1[[#This Row],[Seat_Capacity]]-Table1_1[[#This Row],[Passengers]]</f>
        <v>79</v>
      </c>
      <c r="K476">
        <v>65.95</v>
      </c>
      <c r="L476" t="str" cm="1">
        <f t="array" ref="L476">_xlfn.IFS(Table1_1[[#This Row],[Load_Factor_%]]&lt;60,"Low",Table1_1[[#This Row],[Load_Factor_%]]&lt;85,"Intermediate",Table1_1[[#This Row],[Load_Factor_%]]&gt;=85,"High")</f>
        <v>Intermediate</v>
      </c>
      <c r="M476" s="4">
        <v>1171568</v>
      </c>
      <c r="N476" s="4">
        <v>136162</v>
      </c>
      <c r="O476" s="4">
        <f>SUM(Table1_1[[#This Row],[Ticket_Revenue_INR]:[Cargo_Revenue_INR]])</f>
        <v>1307730</v>
      </c>
      <c r="P476" s="4">
        <v>720210</v>
      </c>
      <c r="Q476" s="4">
        <v>917870</v>
      </c>
      <c r="R476" s="4">
        <f>SUM(Table1_1[[#This Row],[Fuel_Cost_INR]:[Operating_Cost_INR]])</f>
        <v>1638080</v>
      </c>
      <c r="S476" s="4">
        <f>Table1_1[[#This Row],[Total_Revenue]]-Table1_1[[#This Row],[Total_Cost]]</f>
        <v>-330350</v>
      </c>
      <c r="T476" s="9">
        <f>(Table1_1[[#This Row],[Total_Profit]]/Table1_1[[#This Row],[Total_Revenue]])</f>
        <v>-0.25261330702820917</v>
      </c>
      <c r="U476" s="5">
        <v>25</v>
      </c>
      <c r="V476" s="6" t="s">
        <v>18</v>
      </c>
      <c r="W476" s="8">
        <v>4.8</v>
      </c>
      <c r="X476" t="str" cm="1">
        <f t="array" ref="X476">_xlfn.IFS(Table1_1[[#This Row],[Customer_Rating]]&lt;3,"Poor",Table1_1[[#This Row],[Customer_Rating]]&lt;4,"Good",Table1_1[[#This Row],[Customer_Rating]]&gt;=4,"Excellent")</f>
        <v>Excellent</v>
      </c>
    </row>
    <row r="477" spans="1:24" x14ac:dyDescent="0.35">
      <c r="A477" s="2" t="s">
        <v>772</v>
      </c>
      <c r="B477" s="3">
        <v>45685</v>
      </c>
      <c r="C477" s="3" t="str">
        <f>TEXT(Table1_1[[#This Row],[Date]],"YYYY")</f>
        <v>2025</v>
      </c>
      <c r="D477" s="3" t="str">
        <f>TEXT(Table1_1[[#This Row],[Date]],"mmm")</f>
        <v>Jan</v>
      </c>
      <c r="E477" s="2" t="s">
        <v>76</v>
      </c>
      <c r="F477" s="2" t="str">
        <f>INDEX(IndiGo_Flight_Data!$R$2:$R$11,MATCH(Table1_1[[#This Row],[Route]],_xlfn.ANCHORARRAY(IndiGo_Flight_Data!$Q$2),0))</f>
        <v>Madras - Delhi</v>
      </c>
      <c r="G477" s="2" t="s">
        <v>43</v>
      </c>
      <c r="H477">
        <v>142</v>
      </c>
      <c r="I477">
        <v>232</v>
      </c>
      <c r="J477">
        <f>Table1_1[[#This Row],[Seat_Capacity]]-Table1_1[[#This Row],[Passengers]]</f>
        <v>90</v>
      </c>
      <c r="K477">
        <v>61.21</v>
      </c>
      <c r="L477" t="str" cm="1">
        <f t="array" ref="L477">_xlfn.IFS(Table1_1[[#This Row],[Load_Factor_%]]&lt;60,"Low",Table1_1[[#This Row],[Load_Factor_%]]&lt;85,"Intermediate",Table1_1[[#This Row],[Load_Factor_%]]&gt;=85,"High")</f>
        <v>Intermediate</v>
      </c>
      <c r="M477" s="4">
        <v>950768</v>
      </c>
      <c r="N477" s="4">
        <v>78091</v>
      </c>
      <c r="O477" s="4">
        <f>SUM(Table1_1[[#This Row],[Ticket_Revenue_INR]:[Cargo_Revenue_INR]])</f>
        <v>1028859</v>
      </c>
      <c r="P477" s="4">
        <v>509622</v>
      </c>
      <c r="Q477" s="4">
        <v>812999</v>
      </c>
      <c r="R477" s="4">
        <f>SUM(Table1_1[[#This Row],[Fuel_Cost_INR]:[Operating_Cost_INR]])</f>
        <v>1322621</v>
      </c>
      <c r="S477" s="4">
        <f>Table1_1[[#This Row],[Total_Revenue]]-Table1_1[[#This Row],[Total_Cost]]</f>
        <v>-293762</v>
      </c>
      <c r="T477" s="9">
        <f>(Table1_1[[#This Row],[Total_Profit]]/Table1_1[[#This Row],[Total_Revenue]])</f>
        <v>-0.28552211721917192</v>
      </c>
      <c r="U477" s="5">
        <v>58</v>
      </c>
      <c r="V477" s="6" t="s">
        <v>18</v>
      </c>
      <c r="W477" s="8">
        <v>4.4000000000000004</v>
      </c>
      <c r="X477" t="str" cm="1">
        <f t="array" ref="X477">_xlfn.IFS(Table1_1[[#This Row],[Customer_Rating]]&lt;3,"Poor",Table1_1[[#This Row],[Customer_Rating]]&lt;4,"Good",Table1_1[[#This Row],[Customer_Rating]]&gt;=4,"Excellent")</f>
        <v>Excellent</v>
      </c>
    </row>
    <row r="478" spans="1:24" x14ac:dyDescent="0.35">
      <c r="A478" s="2" t="s">
        <v>773</v>
      </c>
      <c r="B478" s="3">
        <v>45782</v>
      </c>
      <c r="C478" s="3" t="str">
        <f>TEXT(Table1_1[[#This Row],[Date]],"YYYY")</f>
        <v>2025</v>
      </c>
      <c r="D478" s="3" t="str">
        <f>TEXT(Table1_1[[#This Row],[Date]],"mmm")</f>
        <v>May</v>
      </c>
      <c r="E478" s="2" t="s">
        <v>36</v>
      </c>
      <c r="F478" s="2" t="str">
        <f>INDEX(IndiGo_Flight_Data!$R$2:$R$11,MATCH(Table1_1[[#This Row],[Route]],_xlfn.ANCHORARRAY(IndiGo_Flight_Data!$Q$2),0))</f>
        <v>Delhi - Bombay</v>
      </c>
      <c r="G478" s="2" t="s">
        <v>24</v>
      </c>
      <c r="H478">
        <v>164</v>
      </c>
      <c r="I478">
        <v>180</v>
      </c>
      <c r="J478">
        <f>Table1_1[[#This Row],[Seat_Capacity]]-Table1_1[[#This Row],[Passengers]]</f>
        <v>16</v>
      </c>
      <c r="K478">
        <v>91.11</v>
      </c>
      <c r="L478" t="str" cm="1">
        <f t="array" ref="L478">_xlfn.IFS(Table1_1[[#This Row],[Load_Factor_%]]&lt;60,"Low",Table1_1[[#This Row],[Load_Factor_%]]&lt;85,"Intermediate",Table1_1[[#This Row],[Load_Factor_%]]&gt;=85,"High")</f>
        <v>High</v>
      </c>
      <c r="M478" s="4">
        <v>678259</v>
      </c>
      <c r="N478" s="4">
        <v>148251</v>
      </c>
      <c r="O478" s="4">
        <f>SUM(Table1_1[[#This Row],[Ticket_Revenue_INR]:[Cargo_Revenue_INR]])</f>
        <v>826510</v>
      </c>
      <c r="P478" s="4">
        <v>751142</v>
      </c>
      <c r="Q478" s="4">
        <v>1069526</v>
      </c>
      <c r="R478" s="4">
        <f>SUM(Table1_1[[#This Row],[Fuel_Cost_INR]:[Operating_Cost_INR]])</f>
        <v>1820668</v>
      </c>
      <c r="S478" s="4">
        <f>Table1_1[[#This Row],[Total_Revenue]]-Table1_1[[#This Row],[Total_Cost]]</f>
        <v>-994158</v>
      </c>
      <c r="T478" s="9">
        <f>(Table1_1[[#This Row],[Total_Profit]]/Table1_1[[#This Row],[Total_Revenue]])</f>
        <v>-1.2028384411561868</v>
      </c>
      <c r="U478" s="5">
        <v>70</v>
      </c>
      <c r="V478" s="6" t="s">
        <v>18</v>
      </c>
      <c r="W478" s="8">
        <v>3.9</v>
      </c>
      <c r="X478" t="str" cm="1">
        <f t="array" ref="X478">_xlfn.IFS(Table1_1[[#This Row],[Customer_Rating]]&lt;3,"Poor",Table1_1[[#This Row],[Customer_Rating]]&lt;4,"Good",Table1_1[[#This Row],[Customer_Rating]]&gt;=4,"Excellent")</f>
        <v>Good</v>
      </c>
    </row>
    <row r="479" spans="1:24" x14ac:dyDescent="0.35">
      <c r="A479" s="2" t="s">
        <v>774</v>
      </c>
      <c r="B479" s="3">
        <v>45801</v>
      </c>
      <c r="C479" s="3" t="str">
        <f>TEXT(Table1_1[[#This Row],[Date]],"YYYY")</f>
        <v>2025</v>
      </c>
      <c r="D479" s="3" t="str">
        <f>TEXT(Table1_1[[#This Row],[Date]],"mmm")</f>
        <v>May</v>
      </c>
      <c r="E479" s="2" t="s">
        <v>16</v>
      </c>
      <c r="F479" s="2" t="str">
        <f>INDEX(IndiGo_Flight_Data!$R$2:$R$11,MATCH(Table1_1[[#This Row],[Route]],_xlfn.ANCHORARRAY(IndiGo_Flight_Data!$Q$2),0))</f>
        <v>Delhi - Goa</v>
      </c>
      <c r="G479" s="2" t="s">
        <v>43</v>
      </c>
      <c r="H479">
        <v>209</v>
      </c>
      <c r="I479">
        <v>232</v>
      </c>
      <c r="J479">
        <f>Table1_1[[#This Row],[Seat_Capacity]]-Table1_1[[#This Row],[Passengers]]</f>
        <v>23</v>
      </c>
      <c r="K479">
        <v>90.09</v>
      </c>
      <c r="L479" t="str" cm="1">
        <f t="array" ref="L479">_xlfn.IFS(Table1_1[[#This Row],[Load_Factor_%]]&lt;60,"Low",Table1_1[[#This Row],[Load_Factor_%]]&lt;85,"Intermediate",Table1_1[[#This Row],[Load_Factor_%]]&gt;=85,"High")</f>
        <v>High</v>
      </c>
      <c r="M479" s="4">
        <v>1551823</v>
      </c>
      <c r="N479" s="4">
        <v>47130</v>
      </c>
      <c r="O479" s="4">
        <f>SUM(Table1_1[[#This Row],[Ticket_Revenue_INR]:[Cargo_Revenue_INR]])</f>
        <v>1598953</v>
      </c>
      <c r="P479" s="4">
        <v>1058058</v>
      </c>
      <c r="Q479" s="4">
        <v>1309242</v>
      </c>
      <c r="R479" s="4">
        <f>SUM(Table1_1[[#This Row],[Fuel_Cost_INR]:[Operating_Cost_INR]])</f>
        <v>2367300</v>
      </c>
      <c r="S479" s="4">
        <f>Table1_1[[#This Row],[Total_Revenue]]-Table1_1[[#This Row],[Total_Cost]]</f>
        <v>-768347</v>
      </c>
      <c r="T479" s="9">
        <f>(Table1_1[[#This Row],[Total_Profit]]/Table1_1[[#This Row],[Total_Revenue]])</f>
        <v>-0.4805313226842815</v>
      </c>
      <c r="U479" s="5">
        <v>6</v>
      </c>
      <c r="V479" s="6" t="s">
        <v>33</v>
      </c>
      <c r="W479" s="8">
        <v>3.3</v>
      </c>
      <c r="X479" t="str" cm="1">
        <f t="array" ref="X479">_xlfn.IFS(Table1_1[[#This Row],[Customer_Rating]]&lt;3,"Poor",Table1_1[[#This Row],[Customer_Rating]]&lt;4,"Good",Table1_1[[#This Row],[Customer_Rating]]&gt;=4,"Excellent")</f>
        <v>Good</v>
      </c>
    </row>
    <row r="480" spans="1:24" x14ac:dyDescent="0.35">
      <c r="A480" s="2" t="s">
        <v>775</v>
      </c>
      <c r="B480" s="3">
        <v>45735</v>
      </c>
      <c r="C480" s="3" t="str">
        <f>TEXT(Table1_1[[#This Row],[Date]],"YYYY")</f>
        <v>2025</v>
      </c>
      <c r="D480" s="3" t="str">
        <f>TEXT(Table1_1[[#This Row],[Date]],"mmm")</f>
        <v>Mar</v>
      </c>
      <c r="E480" s="2" t="s">
        <v>59</v>
      </c>
      <c r="F480" s="2" t="str">
        <f>INDEX(IndiGo_Flight_Data!$R$2:$R$11,MATCH(Table1_1[[#This Row],[Route]],_xlfn.ANCHORARRAY(IndiGo_Flight_Data!$Q$2),0))</f>
        <v>Bengaluru - Bombay</v>
      </c>
      <c r="G480" s="2" t="s">
        <v>17</v>
      </c>
      <c r="H480">
        <v>70</v>
      </c>
      <c r="I480">
        <v>78</v>
      </c>
      <c r="J480">
        <f>Table1_1[[#This Row],[Seat_Capacity]]-Table1_1[[#This Row],[Passengers]]</f>
        <v>8</v>
      </c>
      <c r="K480">
        <v>89.74</v>
      </c>
      <c r="L480" t="str" cm="1">
        <f t="array" ref="L480">_xlfn.IFS(Table1_1[[#This Row],[Load_Factor_%]]&lt;60,"Low",Table1_1[[#This Row],[Load_Factor_%]]&lt;85,"Intermediate",Table1_1[[#This Row],[Load_Factor_%]]&gt;=85,"High")</f>
        <v>High</v>
      </c>
      <c r="M480" s="4">
        <v>403098</v>
      </c>
      <c r="N480" s="4">
        <v>74007</v>
      </c>
      <c r="O480" s="4">
        <f>SUM(Table1_1[[#This Row],[Ticket_Revenue_INR]:[Cargo_Revenue_INR]])</f>
        <v>477105</v>
      </c>
      <c r="P480" s="4">
        <v>1139929</v>
      </c>
      <c r="Q480" s="4">
        <v>1471122</v>
      </c>
      <c r="R480" s="4">
        <f>SUM(Table1_1[[#This Row],[Fuel_Cost_INR]:[Operating_Cost_INR]])</f>
        <v>2611051</v>
      </c>
      <c r="S480" s="4">
        <f>Table1_1[[#This Row],[Total_Revenue]]-Table1_1[[#This Row],[Total_Cost]]</f>
        <v>-2133946</v>
      </c>
      <c r="T480" s="9">
        <f>(Table1_1[[#This Row],[Total_Profit]]/Table1_1[[#This Row],[Total_Revenue]])</f>
        <v>-4.4726967858228273</v>
      </c>
      <c r="U480" s="5">
        <v>4</v>
      </c>
      <c r="V480" s="6" t="s">
        <v>33</v>
      </c>
      <c r="W480" s="8">
        <v>4.5</v>
      </c>
      <c r="X480" t="str" cm="1">
        <f t="array" ref="X480">_xlfn.IFS(Table1_1[[#This Row],[Customer_Rating]]&lt;3,"Poor",Table1_1[[#This Row],[Customer_Rating]]&lt;4,"Good",Table1_1[[#This Row],[Customer_Rating]]&gt;=4,"Excellent")</f>
        <v>Excellent</v>
      </c>
    </row>
    <row r="481" spans="1:24" x14ac:dyDescent="0.35">
      <c r="A481" s="2" t="s">
        <v>777</v>
      </c>
      <c r="B481" s="3">
        <v>45749</v>
      </c>
      <c r="C481" s="3" t="str">
        <f>TEXT(Table1_1[[#This Row],[Date]],"YYYY")</f>
        <v>2025</v>
      </c>
      <c r="D481" s="3" t="str">
        <f>TEXT(Table1_1[[#This Row],[Date]],"mmm")</f>
        <v>Apr</v>
      </c>
      <c r="E481" s="2" t="s">
        <v>32</v>
      </c>
      <c r="F481" s="2" t="str">
        <f>INDEX(IndiGo_Flight_Data!$R$2:$R$11,MATCH(Table1_1[[#This Row],[Route]],_xlfn.ANCHORARRAY(IndiGo_Flight_Data!$Q$2),0))</f>
        <v>Bengaluru - Cochin</v>
      </c>
      <c r="G481" s="2" t="s">
        <v>17</v>
      </c>
      <c r="H481">
        <v>53</v>
      </c>
      <c r="I481">
        <v>78</v>
      </c>
      <c r="J481">
        <f>Table1_1[[#This Row],[Seat_Capacity]]-Table1_1[[#This Row],[Passengers]]</f>
        <v>25</v>
      </c>
      <c r="K481">
        <v>67.95</v>
      </c>
      <c r="L481" t="str" cm="1">
        <f t="array" ref="L481">_xlfn.IFS(Table1_1[[#This Row],[Load_Factor_%]]&lt;60,"Low",Table1_1[[#This Row],[Load_Factor_%]]&lt;85,"Intermediate",Table1_1[[#This Row],[Load_Factor_%]]&gt;=85,"High")</f>
        <v>Intermediate</v>
      </c>
      <c r="M481" s="4">
        <v>188166</v>
      </c>
      <c r="N481" s="4">
        <v>29533</v>
      </c>
      <c r="O481" s="4">
        <f>SUM(Table1_1[[#This Row],[Ticket_Revenue_INR]:[Cargo_Revenue_INR]])</f>
        <v>217699</v>
      </c>
      <c r="P481" s="4">
        <v>1118097</v>
      </c>
      <c r="Q481" s="4">
        <v>1415880</v>
      </c>
      <c r="R481" s="4">
        <f>SUM(Table1_1[[#This Row],[Fuel_Cost_INR]:[Operating_Cost_INR]])</f>
        <v>2533977</v>
      </c>
      <c r="S481" s="4">
        <f>Table1_1[[#This Row],[Total_Revenue]]-Table1_1[[#This Row],[Total_Cost]]</f>
        <v>-2316278</v>
      </c>
      <c r="T481" s="9">
        <f>(Table1_1[[#This Row],[Total_Profit]]/Table1_1[[#This Row],[Total_Revenue]])</f>
        <v>-10.639819199904455</v>
      </c>
      <c r="U481" s="5">
        <v>7</v>
      </c>
      <c r="V481" s="6" t="s">
        <v>33</v>
      </c>
      <c r="W481" s="8">
        <v>4.2</v>
      </c>
      <c r="X481" t="str" cm="1">
        <f t="array" ref="X481">_xlfn.IFS(Table1_1[[#This Row],[Customer_Rating]]&lt;3,"Poor",Table1_1[[#This Row],[Customer_Rating]]&lt;4,"Good",Table1_1[[#This Row],[Customer_Rating]]&gt;=4,"Excellent")</f>
        <v>Excellent</v>
      </c>
    </row>
    <row r="482" spans="1:24" x14ac:dyDescent="0.35">
      <c r="A482" s="2" t="s">
        <v>778</v>
      </c>
      <c r="B482" s="3">
        <v>45690</v>
      </c>
      <c r="C482" s="3" t="str">
        <f>TEXT(Table1_1[[#This Row],[Date]],"YYYY")</f>
        <v>2025</v>
      </c>
      <c r="D482" s="3" t="str">
        <f>TEXT(Table1_1[[#This Row],[Date]],"mmm")</f>
        <v>Feb</v>
      </c>
      <c r="E482" s="2" t="s">
        <v>36</v>
      </c>
      <c r="F482" s="2" t="str">
        <f>INDEX(IndiGo_Flight_Data!$R$2:$R$11,MATCH(Table1_1[[#This Row],[Route]],_xlfn.ANCHORARRAY(IndiGo_Flight_Data!$Q$2),0))</f>
        <v>Delhi - Bombay</v>
      </c>
      <c r="G482" s="2" t="s">
        <v>43</v>
      </c>
      <c r="H482">
        <v>169</v>
      </c>
      <c r="I482">
        <v>232</v>
      </c>
      <c r="J482">
        <f>Table1_1[[#This Row],[Seat_Capacity]]-Table1_1[[#This Row],[Passengers]]</f>
        <v>63</v>
      </c>
      <c r="K482">
        <v>72.84</v>
      </c>
      <c r="L482" t="str" cm="1">
        <f t="array" ref="L482">_xlfn.IFS(Table1_1[[#This Row],[Load_Factor_%]]&lt;60,"Low",Table1_1[[#This Row],[Load_Factor_%]]&lt;85,"Intermediate",Table1_1[[#This Row],[Load_Factor_%]]&gt;=85,"High")</f>
        <v>Intermediate</v>
      </c>
      <c r="M482" s="4">
        <v>619388</v>
      </c>
      <c r="N482" s="4">
        <v>98540</v>
      </c>
      <c r="O482" s="4">
        <f>SUM(Table1_1[[#This Row],[Ticket_Revenue_INR]:[Cargo_Revenue_INR]])</f>
        <v>717928</v>
      </c>
      <c r="P482" s="4">
        <v>516752</v>
      </c>
      <c r="Q482" s="4">
        <v>1136101</v>
      </c>
      <c r="R482" s="4">
        <f>SUM(Table1_1[[#This Row],[Fuel_Cost_INR]:[Operating_Cost_INR]])</f>
        <v>1652853</v>
      </c>
      <c r="S482" s="4">
        <f>Table1_1[[#This Row],[Total_Revenue]]-Table1_1[[#This Row],[Total_Cost]]</f>
        <v>-934925</v>
      </c>
      <c r="T482" s="9">
        <f>(Table1_1[[#This Row],[Total_Profit]]/Table1_1[[#This Row],[Total_Revenue]])</f>
        <v>-1.3022545436311161</v>
      </c>
      <c r="U482" s="5">
        <v>56</v>
      </c>
      <c r="V482" s="6" t="s">
        <v>18</v>
      </c>
      <c r="W482" s="8">
        <v>3.8</v>
      </c>
      <c r="X482" t="str" cm="1">
        <f t="array" ref="X482">_xlfn.IFS(Table1_1[[#This Row],[Customer_Rating]]&lt;3,"Poor",Table1_1[[#This Row],[Customer_Rating]]&lt;4,"Good",Table1_1[[#This Row],[Customer_Rating]]&gt;=4,"Excellent")</f>
        <v>Good</v>
      </c>
    </row>
    <row r="483" spans="1:24" x14ac:dyDescent="0.35">
      <c r="A483" s="2" t="s">
        <v>779</v>
      </c>
      <c r="B483" s="3">
        <v>45699</v>
      </c>
      <c r="C483" s="3" t="str">
        <f>TEXT(Table1_1[[#This Row],[Date]],"YYYY")</f>
        <v>2025</v>
      </c>
      <c r="D483" s="3" t="str">
        <f>TEXT(Table1_1[[#This Row],[Date]],"mmm")</f>
        <v>Feb</v>
      </c>
      <c r="E483" s="2" t="s">
        <v>29</v>
      </c>
      <c r="F483" s="2" t="str">
        <f>INDEX(IndiGo_Flight_Data!$R$2:$R$11,MATCH(Table1_1[[#This Row],[Route]],_xlfn.ANCHORARRAY(IndiGo_Flight_Data!$Q$2),0))</f>
        <v>Calacatta - Delhi</v>
      </c>
      <c r="G483" s="2" t="s">
        <v>43</v>
      </c>
      <c r="H483">
        <v>207</v>
      </c>
      <c r="I483">
        <v>232</v>
      </c>
      <c r="J483">
        <f>Table1_1[[#This Row],[Seat_Capacity]]-Table1_1[[#This Row],[Passengers]]</f>
        <v>25</v>
      </c>
      <c r="K483">
        <v>89.22</v>
      </c>
      <c r="L483" t="str" cm="1">
        <f t="array" ref="L483">_xlfn.IFS(Table1_1[[#This Row],[Load_Factor_%]]&lt;60,"Low",Table1_1[[#This Row],[Load_Factor_%]]&lt;85,"Intermediate",Table1_1[[#This Row],[Load_Factor_%]]&gt;=85,"High")</f>
        <v>High</v>
      </c>
      <c r="M483" s="4">
        <v>1618424</v>
      </c>
      <c r="N483" s="4">
        <v>112359</v>
      </c>
      <c r="O483" s="4">
        <f>SUM(Table1_1[[#This Row],[Ticket_Revenue_INR]:[Cargo_Revenue_INR]])</f>
        <v>1730783</v>
      </c>
      <c r="P483" s="4">
        <v>301488</v>
      </c>
      <c r="Q483" s="4">
        <v>857265</v>
      </c>
      <c r="R483" s="4">
        <f>SUM(Table1_1[[#This Row],[Fuel_Cost_INR]:[Operating_Cost_INR]])</f>
        <v>1158753</v>
      </c>
      <c r="S483" s="4">
        <f>Table1_1[[#This Row],[Total_Revenue]]-Table1_1[[#This Row],[Total_Cost]]</f>
        <v>572030</v>
      </c>
      <c r="T483" s="9">
        <f>(Table1_1[[#This Row],[Total_Profit]]/Table1_1[[#This Row],[Total_Revenue]])</f>
        <v>0.33050359288252773</v>
      </c>
      <c r="U483" s="5">
        <v>11</v>
      </c>
      <c r="V483" s="6" t="s">
        <v>33</v>
      </c>
      <c r="W483" s="8">
        <v>3.9</v>
      </c>
      <c r="X483" t="str" cm="1">
        <f t="array" ref="X483">_xlfn.IFS(Table1_1[[#This Row],[Customer_Rating]]&lt;3,"Poor",Table1_1[[#This Row],[Customer_Rating]]&lt;4,"Good",Table1_1[[#This Row],[Customer_Rating]]&gt;=4,"Excellent")</f>
        <v>Good</v>
      </c>
    </row>
    <row r="484" spans="1:24" x14ac:dyDescent="0.35">
      <c r="A484" s="2" t="s">
        <v>780</v>
      </c>
      <c r="B484" s="3">
        <v>45874</v>
      </c>
      <c r="C484" s="3" t="str">
        <f>TEXT(Table1_1[[#This Row],[Date]],"YYYY")</f>
        <v>2025</v>
      </c>
      <c r="D484" s="3" t="str">
        <f>TEXT(Table1_1[[#This Row],[Date]],"mmm")</f>
        <v>Aug</v>
      </c>
      <c r="E484" s="2" t="s">
        <v>36</v>
      </c>
      <c r="F484" s="2" t="str">
        <f>INDEX(IndiGo_Flight_Data!$R$2:$R$11,MATCH(Table1_1[[#This Row],[Route]],_xlfn.ANCHORARRAY(IndiGo_Flight_Data!$Q$2),0))</f>
        <v>Delhi - Bombay</v>
      </c>
      <c r="G484" s="2" t="s">
        <v>43</v>
      </c>
      <c r="H484">
        <v>204</v>
      </c>
      <c r="I484">
        <v>232</v>
      </c>
      <c r="J484">
        <f>Table1_1[[#This Row],[Seat_Capacity]]-Table1_1[[#This Row],[Passengers]]</f>
        <v>28</v>
      </c>
      <c r="K484">
        <v>87.93</v>
      </c>
      <c r="L484" t="str" cm="1">
        <f t="array" ref="L484">_xlfn.IFS(Table1_1[[#This Row],[Load_Factor_%]]&lt;60,"Low",Table1_1[[#This Row],[Load_Factor_%]]&lt;85,"Intermediate",Table1_1[[#This Row],[Load_Factor_%]]&gt;=85,"High")</f>
        <v>High</v>
      </c>
      <c r="M484" s="4">
        <v>1328048</v>
      </c>
      <c r="N484" s="4">
        <v>110595</v>
      </c>
      <c r="O484" s="4">
        <f>SUM(Table1_1[[#This Row],[Ticket_Revenue_INR]:[Cargo_Revenue_INR]])</f>
        <v>1438643</v>
      </c>
      <c r="P484" s="4">
        <v>711130</v>
      </c>
      <c r="Q484" s="4">
        <v>1135679</v>
      </c>
      <c r="R484" s="4">
        <f>SUM(Table1_1[[#This Row],[Fuel_Cost_INR]:[Operating_Cost_INR]])</f>
        <v>1846809</v>
      </c>
      <c r="S484" s="4">
        <f>Table1_1[[#This Row],[Total_Revenue]]-Table1_1[[#This Row],[Total_Cost]]</f>
        <v>-408166</v>
      </c>
      <c r="T484" s="9">
        <f>(Table1_1[[#This Row],[Total_Profit]]/Table1_1[[#This Row],[Total_Revenue]])</f>
        <v>-0.28371597401162069</v>
      </c>
      <c r="U484" s="5">
        <v>33</v>
      </c>
      <c r="V484" s="6" t="s">
        <v>18</v>
      </c>
      <c r="W484" s="8">
        <v>3.6</v>
      </c>
      <c r="X484" t="str" cm="1">
        <f t="array" ref="X484">_xlfn.IFS(Table1_1[[#This Row],[Customer_Rating]]&lt;3,"Poor",Table1_1[[#This Row],[Customer_Rating]]&lt;4,"Good",Table1_1[[#This Row],[Customer_Rating]]&gt;=4,"Excellent")</f>
        <v>Good</v>
      </c>
    </row>
    <row r="485" spans="1:24" x14ac:dyDescent="0.35">
      <c r="A485" s="2" t="s">
        <v>782</v>
      </c>
      <c r="B485" s="3">
        <v>45787</v>
      </c>
      <c r="C485" s="3" t="str">
        <f>TEXT(Table1_1[[#This Row],[Date]],"YYYY")</f>
        <v>2025</v>
      </c>
      <c r="D485" s="3" t="str">
        <f>TEXT(Table1_1[[#This Row],[Date]],"mmm")</f>
        <v>May</v>
      </c>
      <c r="E485" s="2" t="s">
        <v>76</v>
      </c>
      <c r="F485" s="2" t="str">
        <f>INDEX(IndiGo_Flight_Data!$R$2:$R$11,MATCH(Table1_1[[#This Row],[Route]],_xlfn.ANCHORARRAY(IndiGo_Flight_Data!$Q$2),0))</f>
        <v>Madras - Delhi</v>
      </c>
      <c r="G485" s="2" t="s">
        <v>17</v>
      </c>
      <c r="H485">
        <v>66</v>
      </c>
      <c r="I485">
        <v>78</v>
      </c>
      <c r="J485">
        <f>Table1_1[[#This Row],[Seat_Capacity]]-Table1_1[[#This Row],[Passengers]]</f>
        <v>12</v>
      </c>
      <c r="K485">
        <v>84.62</v>
      </c>
      <c r="L485" t="str" cm="1">
        <f t="array" ref="L485">_xlfn.IFS(Table1_1[[#This Row],[Load_Factor_%]]&lt;60,"Low",Table1_1[[#This Row],[Load_Factor_%]]&lt;85,"Intermediate",Table1_1[[#This Row],[Load_Factor_%]]&gt;=85,"High")</f>
        <v>Intermediate</v>
      </c>
      <c r="M485" s="4">
        <v>408294</v>
      </c>
      <c r="N485" s="4">
        <v>18526</v>
      </c>
      <c r="O485" s="4">
        <f>SUM(Table1_1[[#This Row],[Ticket_Revenue_INR]:[Cargo_Revenue_INR]])</f>
        <v>426820</v>
      </c>
      <c r="P485" s="4">
        <v>420917</v>
      </c>
      <c r="Q485" s="4">
        <v>1022851</v>
      </c>
      <c r="R485" s="4">
        <f>SUM(Table1_1[[#This Row],[Fuel_Cost_INR]:[Operating_Cost_INR]])</f>
        <v>1443768</v>
      </c>
      <c r="S485" s="4">
        <f>Table1_1[[#This Row],[Total_Revenue]]-Table1_1[[#This Row],[Total_Cost]]</f>
        <v>-1016948</v>
      </c>
      <c r="T485" s="9">
        <f>(Table1_1[[#This Row],[Total_Profit]]/Table1_1[[#This Row],[Total_Revenue]])</f>
        <v>-2.3826156225106603</v>
      </c>
      <c r="U485" s="5">
        <v>28</v>
      </c>
      <c r="V485" s="6" t="s">
        <v>18</v>
      </c>
      <c r="W485" s="8">
        <v>3.7</v>
      </c>
      <c r="X485" t="str" cm="1">
        <f t="array" ref="X485">_xlfn.IFS(Table1_1[[#This Row],[Customer_Rating]]&lt;3,"Poor",Table1_1[[#This Row],[Customer_Rating]]&lt;4,"Good",Table1_1[[#This Row],[Customer_Rating]]&gt;=4,"Excellent")</f>
        <v>Good</v>
      </c>
    </row>
    <row r="486" spans="1:24" x14ac:dyDescent="0.35">
      <c r="A486" s="2" t="s">
        <v>783</v>
      </c>
      <c r="B486" s="3">
        <v>45879</v>
      </c>
      <c r="C486" s="3" t="str">
        <f>TEXT(Table1_1[[#This Row],[Date]],"YYYY")</f>
        <v>2025</v>
      </c>
      <c r="D486" s="3" t="str">
        <f>TEXT(Table1_1[[#This Row],[Date]],"mmm")</f>
        <v>Aug</v>
      </c>
      <c r="E486" s="2" t="s">
        <v>36</v>
      </c>
      <c r="F486" s="2" t="str">
        <f>INDEX(IndiGo_Flight_Data!$R$2:$R$11,MATCH(Table1_1[[#This Row],[Route]],_xlfn.ANCHORARRAY(IndiGo_Flight_Data!$Q$2),0))</f>
        <v>Delhi - Bombay</v>
      </c>
      <c r="G486" s="2" t="s">
        <v>24</v>
      </c>
      <c r="H486">
        <v>170</v>
      </c>
      <c r="I486">
        <v>180</v>
      </c>
      <c r="J486">
        <f>Table1_1[[#This Row],[Seat_Capacity]]-Table1_1[[#This Row],[Passengers]]</f>
        <v>10</v>
      </c>
      <c r="K486">
        <v>94.44</v>
      </c>
      <c r="L486" t="str" cm="1">
        <f t="array" ref="L486">_xlfn.IFS(Table1_1[[#This Row],[Load_Factor_%]]&lt;60,"Low",Table1_1[[#This Row],[Load_Factor_%]]&lt;85,"Intermediate",Table1_1[[#This Row],[Load_Factor_%]]&gt;=85,"High")</f>
        <v>High</v>
      </c>
      <c r="M486" s="4">
        <v>602104</v>
      </c>
      <c r="N486" s="4">
        <v>93270</v>
      </c>
      <c r="O486" s="4">
        <f>SUM(Table1_1[[#This Row],[Ticket_Revenue_INR]:[Cargo_Revenue_INR]])</f>
        <v>695374</v>
      </c>
      <c r="P486" s="4">
        <v>1022963</v>
      </c>
      <c r="Q486" s="4">
        <v>1442553</v>
      </c>
      <c r="R486" s="4">
        <f>SUM(Table1_1[[#This Row],[Fuel_Cost_INR]:[Operating_Cost_INR]])</f>
        <v>2465516</v>
      </c>
      <c r="S486" s="4">
        <f>Table1_1[[#This Row],[Total_Revenue]]-Table1_1[[#This Row],[Total_Cost]]</f>
        <v>-1770142</v>
      </c>
      <c r="T486" s="9">
        <f>(Table1_1[[#This Row],[Total_Profit]]/Table1_1[[#This Row],[Total_Revenue]])</f>
        <v>-2.5455970456186168</v>
      </c>
      <c r="U486" s="5">
        <v>8</v>
      </c>
      <c r="V486" s="6" t="s">
        <v>33</v>
      </c>
      <c r="W486" s="8">
        <v>3.6</v>
      </c>
      <c r="X486" t="str" cm="1">
        <f t="array" ref="X486">_xlfn.IFS(Table1_1[[#This Row],[Customer_Rating]]&lt;3,"Poor",Table1_1[[#This Row],[Customer_Rating]]&lt;4,"Good",Table1_1[[#This Row],[Customer_Rating]]&gt;=4,"Excellent")</f>
        <v>Good</v>
      </c>
    </row>
    <row r="487" spans="1:24" x14ac:dyDescent="0.35">
      <c r="A487" s="2" t="s">
        <v>785</v>
      </c>
      <c r="B487" s="3">
        <v>45703</v>
      </c>
      <c r="C487" s="3" t="str">
        <f>TEXT(Table1_1[[#This Row],[Date]],"YYYY")</f>
        <v>2025</v>
      </c>
      <c r="D487" s="3" t="str">
        <f>TEXT(Table1_1[[#This Row],[Date]],"mmm")</f>
        <v>Feb</v>
      </c>
      <c r="E487" s="2" t="s">
        <v>59</v>
      </c>
      <c r="F487" s="2" t="str">
        <f>INDEX(IndiGo_Flight_Data!$R$2:$R$11,MATCH(Table1_1[[#This Row],[Route]],_xlfn.ANCHORARRAY(IndiGo_Flight_Data!$Q$2),0))</f>
        <v>Bengaluru - Bombay</v>
      </c>
      <c r="G487" s="2" t="s">
        <v>24</v>
      </c>
      <c r="H487">
        <v>112</v>
      </c>
      <c r="I487">
        <v>180</v>
      </c>
      <c r="J487">
        <f>Table1_1[[#This Row],[Seat_Capacity]]-Table1_1[[#This Row],[Passengers]]</f>
        <v>68</v>
      </c>
      <c r="K487">
        <v>62.22</v>
      </c>
      <c r="L487" t="str" cm="1">
        <f t="array" ref="L487">_xlfn.IFS(Table1_1[[#This Row],[Load_Factor_%]]&lt;60,"Low",Table1_1[[#This Row],[Load_Factor_%]]&lt;85,"Intermediate",Table1_1[[#This Row],[Load_Factor_%]]&gt;=85,"High")</f>
        <v>Intermediate</v>
      </c>
      <c r="M487" s="4">
        <v>679385</v>
      </c>
      <c r="N487" s="4">
        <v>130133</v>
      </c>
      <c r="O487" s="4">
        <f>SUM(Table1_1[[#This Row],[Ticket_Revenue_INR]:[Cargo_Revenue_INR]])</f>
        <v>809518</v>
      </c>
      <c r="P487" s="4">
        <v>557236</v>
      </c>
      <c r="Q487" s="4">
        <v>757640</v>
      </c>
      <c r="R487" s="4">
        <f>SUM(Table1_1[[#This Row],[Fuel_Cost_INR]:[Operating_Cost_INR]])</f>
        <v>1314876</v>
      </c>
      <c r="S487" s="4">
        <f>Table1_1[[#This Row],[Total_Revenue]]-Table1_1[[#This Row],[Total_Cost]]</f>
        <v>-505358</v>
      </c>
      <c r="T487" s="9">
        <f>(Table1_1[[#This Row],[Total_Profit]]/Table1_1[[#This Row],[Total_Revenue]])</f>
        <v>-0.62427024476293302</v>
      </c>
      <c r="U487" s="5">
        <v>41</v>
      </c>
      <c r="V487" s="6" t="s">
        <v>18</v>
      </c>
      <c r="W487" s="8">
        <v>4.8</v>
      </c>
      <c r="X487" t="str" cm="1">
        <f t="array" ref="X487">_xlfn.IFS(Table1_1[[#This Row],[Customer_Rating]]&lt;3,"Poor",Table1_1[[#This Row],[Customer_Rating]]&lt;4,"Good",Table1_1[[#This Row],[Customer_Rating]]&gt;=4,"Excellent")</f>
        <v>Excellent</v>
      </c>
    </row>
    <row r="488" spans="1:24" x14ac:dyDescent="0.35">
      <c r="A488" s="2" t="s">
        <v>786</v>
      </c>
      <c r="B488" s="3">
        <v>45737</v>
      </c>
      <c r="C488" s="3" t="str">
        <f>TEXT(Table1_1[[#This Row],[Date]],"YYYY")</f>
        <v>2025</v>
      </c>
      <c r="D488" s="3" t="str">
        <f>TEXT(Table1_1[[#This Row],[Date]],"mmm")</f>
        <v>Mar</v>
      </c>
      <c r="E488" s="2" t="s">
        <v>16</v>
      </c>
      <c r="F488" s="2" t="str">
        <f>INDEX(IndiGo_Flight_Data!$R$2:$R$11,MATCH(Table1_1[[#This Row],[Route]],_xlfn.ANCHORARRAY(IndiGo_Flight_Data!$Q$2),0))</f>
        <v>Delhi - Goa</v>
      </c>
      <c r="G488" s="2" t="s">
        <v>17</v>
      </c>
      <c r="H488">
        <v>52</v>
      </c>
      <c r="I488">
        <v>78</v>
      </c>
      <c r="J488">
        <f>Table1_1[[#This Row],[Seat_Capacity]]-Table1_1[[#This Row],[Passengers]]</f>
        <v>26</v>
      </c>
      <c r="K488">
        <v>66.67</v>
      </c>
      <c r="L488" t="str" cm="1">
        <f t="array" ref="L488">_xlfn.IFS(Table1_1[[#This Row],[Load_Factor_%]]&lt;60,"Low",Table1_1[[#This Row],[Load_Factor_%]]&lt;85,"Intermediate",Table1_1[[#This Row],[Load_Factor_%]]&gt;=85,"High")</f>
        <v>Intermediate</v>
      </c>
      <c r="M488" s="4">
        <v>264148</v>
      </c>
      <c r="N488" s="4">
        <v>104753</v>
      </c>
      <c r="O488" s="4">
        <f>SUM(Table1_1[[#This Row],[Ticket_Revenue_INR]:[Cargo_Revenue_INR]])</f>
        <v>368901</v>
      </c>
      <c r="P488" s="4">
        <v>383246</v>
      </c>
      <c r="Q488" s="4">
        <v>505338</v>
      </c>
      <c r="R488" s="4">
        <f>SUM(Table1_1[[#This Row],[Fuel_Cost_INR]:[Operating_Cost_INR]])</f>
        <v>888584</v>
      </c>
      <c r="S488" s="4">
        <f>Table1_1[[#This Row],[Total_Revenue]]-Table1_1[[#This Row],[Total_Cost]]</f>
        <v>-519683</v>
      </c>
      <c r="T488" s="9">
        <f>(Table1_1[[#This Row],[Total_Profit]]/Table1_1[[#This Row],[Total_Revenue]])</f>
        <v>-1.4087329662971908</v>
      </c>
      <c r="U488" s="5">
        <v>20</v>
      </c>
      <c r="V488" s="6" t="s">
        <v>18</v>
      </c>
      <c r="W488" s="8">
        <v>3.7</v>
      </c>
      <c r="X488" t="str" cm="1">
        <f t="array" ref="X488">_xlfn.IFS(Table1_1[[#This Row],[Customer_Rating]]&lt;3,"Poor",Table1_1[[#This Row],[Customer_Rating]]&lt;4,"Good",Table1_1[[#This Row],[Customer_Rating]]&gt;=4,"Excellent")</f>
        <v>Good</v>
      </c>
    </row>
    <row r="489" spans="1:24" x14ac:dyDescent="0.35">
      <c r="A489" s="2" t="s">
        <v>788</v>
      </c>
      <c r="B489" s="3">
        <v>45905</v>
      </c>
      <c r="C489" s="3" t="str">
        <f>TEXT(Table1_1[[#This Row],[Date]],"YYYY")</f>
        <v>2025</v>
      </c>
      <c r="D489" s="3" t="str">
        <f>TEXT(Table1_1[[#This Row],[Date]],"mmm")</f>
        <v>Sep</v>
      </c>
      <c r="E489" s="2" t="s">
        <v>21</v>
      </c>
      <c r="F489" s="2" t="str">
        <f>INDEX(IndiGo_Flight_Data!$R$2:$R$11,MATCH(Table1_1[[#This Row],[Route]],_xlfn.ANCHORARRAY(IndiGo_Flight_Data!$Q$2),0))</f>
        <v>Bengaluru - Hyderabad</v>
      </c>
      <c r="G489" s="2" t="s">
        <v>43</v>
      </c>
      <c r="H489">
        <v>191</v>
      </c>
      <c r="I489">
        <v>232</v>
      </c>
      <c r="J489">
        <f>Table1_1[[#This Row],[Seat_Capacity]]-Table1_1[[#This Row],[Passengers]]</f>
        <v>41</v>
      </c>
      <c r="K489">
        <v>82.33</v>
      </c>
      <c r="L489" t="str" cm="1">
        <f t="array" ref="L489">_xlfn.IFS(Table1_1[[#This Row],[Load_Factor_%]]&lt;60,"Low",Table1_1[[#This Row],[Load_Factor_%]]&lt;85,"Intermediate",Table1_1[[#This Row],[Load_Factor_%]]&gt;=85,"High")</f>
        <v>Intermediate</v>
      </c>
      <c r="M489" s="4">
        <v>713086</v>
      </c>
      <c r="N489" s="4">
        <v>135886</v>
      </c>
      <c r="O489" s="4">
        <f>SUM(Table1_1[[#This Row],[Ticket_Revenue_INR]:[Cargo_Revenue_INR]])</f>
        <v>848972</v>
      </c>
      <c r="P489" s="4">
        <v>870226</v>
      </c>
      <c r="Q489" s="4">
        <v>1428526</v>
      </c>
      <c r="R489" s="4">
        <f>SUM(Table1_1[[#This Row],[Fuel_Cost_INR]:[Operating_Cost_INR]])</f>
        <v>2298752</v>
      </c>
      <c r="S489" s="4">
        <f>Table1_1[[#This Row],[Total_Revenue]]-Table1_1[[#This Row],[Total_Cost]]</f>
        <v>-1449780</v>
      </c>
      <c r="T489" s="9">
        <f>(Table1_1[[#This Row],[Total_Profit]]/Table1_1[[#This Row],[Total_Revenue]])</f>
        <v>-1.7076888283712537</v>
      </c>
      <c r="U489" s="5">
        <v>27</v>
      </c>
      <c r="V489" s="6" t="s">
        <v>18</v>
      </c>
      <c r="W489" s="8">
        <v>3.4</v>
      </c>
      <c r="X489" t="str" cm="1">
        <f t="array" ref="X489">_xlfn.IFS(Table1_1[[#This Row],[Customer_Rating]]&lt;3,"Poor",Table1_1[[#This Row],[Customer_Rating]]&lt;4,"Good",Table1_1[[#This Row],[Customer_Rating]]&gt;=4,"Excellent")</f>
        <v>Good</v>
      </c>
    </row>
    <row r="490" spans="1:24" x14ac:dyDescent="0.35">
      <c r="A490" s="2" t="s">
        <v>789</v>
      </c>
      <c r="B490" s="3">
        <v>45845</v>
      </c>
      <c r="C490" s="3" t="str">
        <f>TEXT(Table1_1[[#This Row],[Date]],"YYYY")</f>
        <v>2025</v>
      </c>
      <c r="D490" s="3" t="str">
        <f>TEXT(Table1_1[[#This Row],[Date]],"mmm")</f>
        <v>Jul</v>
      </c>
      <c r="E490" s="2" t="s">
        <v>59</v>
      </c>
      <c r="F490" s="2" t="str">
        <f>INDEX(IndiGo_Flight_Data!$R$2:$R$11,MATCH(Table1_1[[#This Row],[Route]],_xlfn.ANCHORARRAY(IndiGo_Flight_Data!$Q$2),0))</f>
        <v>Bengaluru - Bombay</v>
      </c>
      <c r="G490" s="2" t="s">
        <v>24</v>
      </c>
      <c r="H490">
        <v>169</v>
      </c>
      <c r="I490">
        <v>180</v>
      </c>
      <c r="J490">
        <f>Table1_1[[#This Row],[Seat_Capacity]]-Table1_1[[#This Row],[Passengers]]</f>
        <v>11</v>
      </c>
      <c r="K490">
        <v>93.89</v>
      </c>
      <c r="L490" t="str" cm="1">
        <f t="array" ref="L490">_xlfn.IFS(Table1_1[[#This Row],[Load_Factor_%]]&lt;60,"Low",Table1_1[[#This Row],[Load_Factor_%]]&lt;85,"Intermediate",Table1_1[[#This Row],[Load_Factor_%]]&gt;=85,"High")</f>
        <v>High</v>
      </c>
      <c r="M490" s="4">
        <v>914181</v>
      </c>
      <c r="N490" s="4">
        <v>137227</v>
      </c>
      <c r="O490" s="4">
        <f>SUM(Table1_1[[#This Row],[Ticket_Revenue_INR]:[Cargo_Revenue_INR]])</f>
        <v>1051408</v>
      </c>
      <c r="P490" s="4">
        <v>673741</v>
      </c>
      <c r="Q490" s="4">
        <v>923713</v>
      </c>
      <c r="R490" s="4">
        <f>SUM(Table1_1[[#This Row],[Fuel_Cost_INR]:[Operating_Cost_INR]])</f>
        <v>1597454</v>
      </c>
      <c r="S490" s="4">
        <f>Table1_1[[#This Row],[Total_Revenue]]-Table1_1[[#This Row],[Total_Cost]]</f>
        <v>-546046</v>
      </c>
      <c r="T490" s="9">
        <f>(Table1_1[[#This Row],[Total_Profit]]/Table1_1[[#This Row],[Total_Revenue]])</f>
        <v>-0.51934738940544489</v>
      </c>
      <c r="U490" s="5">
        <v>88</v>
      </c>
      <c r="V490" s="6" t="s">
        <v>18</v>
      </c>
      <c r="W490" s="8">
        <v>4.7</v>
      </c>
      <c r="X490" t="str" cm="1">
        <f t="array" ref="X490">_xlfn.IFS(Table1_1[[#This Row],[Customer_Rating]]&lt;3,"Poor",Table1_1[[#This Row],[Customer_Rating]]&lt;4,"Good",Table1_1[[#This Row],[Customer_Rating]]&gt;=4,"Excellent")</f>
        <v>Excellent</v>
      </c>
    </row>
    <row r="491" spans="1:24" x14ac:dyDescent="0.35">
      <c r="A491" s="2" t="s">
        <v>790</v>
      </c>
      <c r="B491" s="3">
        <v>45722</v>
      </c>
      <c r="C491" s="3" t="str">
        <f>TEXT(Table1_1[[#This Row],[Date]],"YYYY")</f>
        <v>2025</v>
      </c>
      <c r="D491" s="3" t="str">
        <f>TEXT(Table1_1[[#This Row],[Date]],"mmm")</f>
        <v>Mar</v>
      </c>
      <c r="E491" s="2" t="s">
        <v>117</v>
      </c>
      <c r="F491" s="2" t="str">
        <f>INDEX(IndiGo_Flight_Data!$R$2:$R$11,MATCH(Table1_1[[#This Row],[Route]],_xlfn.ANCHORARRAY(IndiGo_Flight_Data!$Q$2),0))</f>
        <v>Bengaluru - Calacatta</v>
      </c>
      <c r="G491" s="2" t="s">
        <v>43</v>
      </c>
      <c r="H491">
        <v>200</v>
      </c>
      <c r="I491">
        <v>232</v>
      </c>
      <c r="J491">
        <f>Table1_1[[#This Row],[Seat_Capacity]]-Table1_1[[#This Row],[Passengers]]</f>
        <v>32</v>
      </c>
      <c r="K491">
        <v>86.21</v>
      </c>
      <c r="L491" t="str" cm="1">
        <f t="array" ref="L491">_xlfn.IFS(Table1_1[[#This Row],[Load_Factor_%]]&lt;60,"Low",Table1_1[[#This Row],[Load_Factor_%]]&lt;85,"Intermediate",Table1_1[[#This Row],[Load_Factor_%]]&gt;=85,"High")</f>
        <v>High</v>
      </c>
      <c r="M491" s="4">
        <v>1560424</v>
      </c>
      <c r="N491" s="4">
        <v>74903</v>
      </c>
      <c r="O491" s="4">
        <f>SUM(Table1_1[[#This Row],[Ticket_Revenue_INR]:[Cargo_Revenue_INR]])</f>
        <v>1635327</v>
      </c>
      <c r="P491" s="4">
        <v>548217</v>
      </c>
      <c r="Q491" s="4">
        <v>1053108</v>
      </c>
      <c r="R491" s="4">
        <f>SUM(Table1_1[[#This Row],[Fuel_Cost_INR]:[Operating_Cost_INR]])</f>
        <v>1601325</v>
      </c>
      <c r="S491" s="4">
        <f>Table1_1[[#This Row],[Total_Revenue]]-Table1_1[[#This Row],[Total_Cost]]</f>
        <v>34002</v>
      </c>
      <c r="T491" s="9">
        <f>(Table1_1[[#This Row],[Total_Profit]]/Table1_1[[#This Row],[Total_Revenue]])</f>
        <v>2.0792171840861184E-2</v>
      </c>
      <c r="U491" s="5">
        <v>73</v>
      </c>
      <c r="V491" s="6" t="s">
        <v>18</v>
      </c>
      <c r="W491" s="8">
        <v>4.2</v>
      </c>
      <c r="X491" t="str" cm="1">
        <f t="array" ref="X491">_xlfn.IFS(Table1_1[[#This Row],[Customer_Rating]]&lt;3,"Poor",Table1_1[[#This Row],[Customer_Rating]]&lt;4,"Good",Table1_1[[#This Row],[Customer_Rating]]&gt;=4,"Excellent")</f>
        <v>Excellent</v>
      </c>
    </row>
    <row r="492" spans="1:24" x14ac:dyDescent="0.35">
      <c r="A492" s="2" t="s">
        <v>791</v>
      </c>
      <c r="B492" s="3">
        <v>45706</v>
      </c>
      <c r="C492" s="3" t="str">
        <f>TEXT(Table1_1[[#This Row],[Date]],"YYYY")</f>
        <v>2025</v>
      </c>
      <c r="D492" s="3" t="str">
        <f>TEXT(Table1_1[[#This Row],[Date]],"mmm")</f>
        <v>Feb</v>
      </c>
      <c r="E492" s="2" t="s">
        <v>16</v>
      </c>
      <c r="F492" s="2" t="str">
        <f>INDEX(IndiGo_Flight_Data!$R$2:$R$11,MATCH(Table1_1[[#This Row],[Route]],_xlfn.ANCHORARRAY(IndiGo_Flight_Data!$Q$2),0))</f>
        <v>Delhi - Goa</v>
      </c>
      <c r="G492" s="2" t="s">
        <v>17</v>
      </c>
      <c r="H492">
        <v>54</v>
      </c>
      <c r="I492">
        <v>78</v>
      </c>
      <c r="J492">
        <f>Table1_1[[#This Row],[Seat_Capacity]]-Table1_1[[#This Row],[Passengers]]</f>
        <v>24</v>
      </c>
      <c r="K492">
        <v>69.23</v>
      </c>
      <c r="L492" t="str" cm="1">
        <f t="array" ref="L492">_xlfn.IFS(Table1_1[[#This Row],[Load_Factor_%]]&lt;60,"Low",Table1_1[[#This Row],[Load_Factor_%]]&lt;85,"Intermediate",Table1_1[[#This Row],[Load_Factor_%]]&gt;=85,"High")</f>
        <v>Intermediate</v>
      </c>
      <c r="M492" s="4">
        <v>307824</v>
      </c>
      <c r="N492" s="4">
        <v>87518</v>
      </c>
      <c r="O492" s="4">
        <f>SUM(Table1_1[[#This Row],[Ticket_Revenue_INR]:[Cargo_Revenue_INR]])</f>
        <v>395342</v>
      </c>
      <c r="P492" s="4">
        <v>1167145</v>
      </c>
      <c r="Q492" s="4">
        <v>1780695</v>
      </c>
      <c r="R492" s="4">
        <f>SUM(Table1_1[[#This Row],[Fuel_Cost_INR]:[Operating_Cost_INR]])</f>
        <v>2947840</v>
      </c>
      <c r="S492" s="4">
        <f>Table1_1[[#This Row],[Total_Revenue]]-Table1_1[[#This Row],[Total_Cost]]</f>
        <v>-2552498</v>
      </c>
      <c r="T492" s="9">
        <f>(Table1_1[[#This Row],[Total_Profit]]/Table1_1[[#This Row],[Total_Revenue]])</f>
        <v>-6.4564301288504637</v>
      </c>
      <c r="U492" s="5">
        <v>84</v>
      </c>
      <c r="V492" s="6" t="s">
        <v>18</v>
      </c>
      <c r="W492" s="8">
        <v>4.8</v>
      </c>
      <c r="X492" t="str" cm="1">
        <f t="array" ref="X492">_xlfn.IFS(Table1_1[[#This Row],[Customer_Rating]]&lt;3,"Poor",Table1_1[[#This Row],[Customer_Rating]]&lt;4,"Good",Table1_1[[#This Row],[Customer_Rating]]&gt;=4,"Excellent")</f>
        <v>Excellent</v>
      </c>
    </row>
    <row r="493" spans="1:24" x14ac:dyDescent="0.35">
      <c r="A493" s="2" t="s">
        <v>792</v>
      </c>
      <c r="B493" s="3">
        <v>45753</v>
      </c>
      <c r="C493" s="3" t="str">
        <f>TEXT(Table1_1[[#This Row],[Date]],"YYYY")</f>
        <v>2025</v>
      </c>
      <c r="D493" s="3" t="str">
        <f>TEXT(Table1_1[[#This Row],[Date]],"mmm")</f>
        <v>Apr</v>
      </c>
      <c r="E493" s="2" t="s">
        <v>29</v>
      </c>
      <c r="F493" s="2" t="str">
        <f>INDEX(IndiGo_Flight_Data!$R$2:$R$11,MATCH(Table1_1[[#This Row],[Route]],_xlfn.ANCHORARRAY(IndiGo_Flight_Data!$Q$2),0))</f>
        <v>Calacatta - Delhi</v>
      </c>
      <c r="G493" s="2" t="s">
        <v>43</v>
      </c>
      <c r="H493">
        <v>171</v>
      </c>
      <c r="I493">
        <v>232</v>
      </c>
      <c r="J493">
        <f>Table1_1[[#This Row],[Seat_Capacity]]-Table1_1[[#This Row],[Passengers]]</f>
        <v>61</v>
      </c>
      <c r="K493">
        <v>73.709999999999994</v>
      </c>
      <c r="L493" t="str" cm="1">
        <f t="array" ref="L493">_xlfn.IFS(Table1_1[[#This Row],[Load_Factor_%]]&lt;60,"Low",Table1_1[[#This Row],[Load_Factor_%]]&lt;85,"Intermediate",Table1_1[[#This Row],[Load_Factor_%]]&gt;=85,"High")</f>
        <v>Intermediate</v>
      </c>
      <c r="M493" s="4">
        <v>1311883</v>
      </c>
      <c r="N493" s="4">
        <v>109747</v>
      </c>
      <c r="O493" s="4">
        <f>SUM(Table1_1[[#This Row],[Ticket_Revenue_INR]:[Cargo_Revenue_INR]])</f>
        <v>1421630</v>
      </c>
      <c r="P493" s="4">
        <v>773600</v>
      </c>
      <c r="Q493" s="4">
        <v>1186581</v>
      </c>
      <c r="R493" s="4">
        <f>SUM(Table1_1[[#This Row],[Fuel_Cost_INR]:[Operating_Cost_INR]])</f>
        <v>1960181</v>
      </c>
      <c r="S493" s="4">
        <f>Table1_1[[#This Row],[Total_Revenue]]-Table1_1[[#This Row],[Total_Cost]]</f>
        <v>-538551</v>
      </c>
      <c r="T493" s="9">
        <f>(Table1_1[[#This Row],[Total_Profit]]/Table1_1[[#This Row],[Total_Revenue]])</f>
        <v>-0.37882641756293833</v>
      </c>
      <c r="U493" s="5">
        <v>31</v>
      </c>
      <c r="V493" s="6" t="s">
        <v>18</v>
      </c>
      <c r="W493" s="8">
        <v>4.8</v>
      </c>
      <c r="X493" t="str" cm="1">
        <f t="array" ref="X493">_xlfn.IFS(Table1_1[[#This Row],[Customer_Rating]]&lt;3,"Poor",Table1_1[[#This Row],[Customer_Rating]]&lt;4,"Good",Table1_1[[#This Row],[Customer_Rating]]&gt;=4,"Excellent")</f>
        <v>Excellent</v>
      </c>
    </row>
    <row r="494" spans="1:24" x14ac:dyDescent="0.35">
      <c r="A494" s="2" t="s">
        <v>793</v>
      </c>
      <c r="B494" s="3">
        <v>45821</v>
      </c>
      <c r="C494" s="3" t="str">
        <f>TEXT(Table1_1[[#This Row],[Date]],"YYYY")</f>
        <v>2025</v>
      </c>
      <c r="D494" s="3" t="str">
        <f>TEXT(Table1_1[[#This Row],[Date]],"mmm")</f>
        <v>Jun</v>
      </c>
      <c r="E494" s="2" t="s">
        <v>39</v>
      </c>
      <c r="F494" s="2" t="str">
        <f>INDEX(IndiGo_Flight_Data!$R$2:$R$11,MATCH(Table1_1[[#This Row],[Route]],_xlfn.ANCHORARRAY(IndiGo_Flight_Data!$Q$2),0))</f>
        <v>Bengaluru - Delhi</v>
      </c>
      <c r="G494" s="2" t="s">
        <v>24</v>
      </c>
      <c r="H494">
        <v>153</v>
      </c>
      <c r="I494">
        <v>180</v>
      </c>
      <c r="J494">
        <f>Table1_1[[#This Row],[Seat_Capacity]]-Table1_1[[#This Row],[Passengers]]</f>
        <v>27</v>
      </c>
      <c r="K494">
        <v>85</v>
      </c>
      <c r="L494" t="str" cm="1">
        <f t="array" ref="L494">_xlfn.IFS(Table1_1[[#This Row],[Load_Factor_%]]&lt;60,"Low",Table1_1[[#This Row],[Load_Factor_%]]&lt;85,"Intermediate",Table1_1[[#This Row],[Load_Factor_%]]&gt;=85,"High")</f>
        <v>High</v>
      </c>
      <c r="M494" s="4">
        <v>952238</v>
      </c>
      <c r="N494" s="4">
        <v>55014</v>
      </c>
      <c r="O494" s="4">
        <f>SUM(Table1_1[[#This Row],[Ticket_Revenue_INR]:[Cargo_Revenue_INR]])</f>
        <v>1007252</v>
      </c>
      <c r="P494" s="4">
        <v>1164635</v>
      </c>
      <c r="Q494" s="4">
        <v>1708119</v>
      </c>
      <c r="R494" s="4">
        <f>SUM(Table1_1[[#This Row],[Fuel_Cost_INR]:[Operating_Cost_INR]])</f>
        <v>2872754</v>
      </c>
      <c r="S494" s="4">
        <f>Table1_1[[#This Row],[Total_Revenue]]-Table1_1[[#This Row],[Total_Cost]]</f>
        <v>-1865502</v>
      </c>
      <c r="T494" s="9">
        <f>(Table1_1[[#This Row],[Total_Profit]]/Table1_1[[#This Row],[Total_Revenue]])</f>
        <v>-1.8520707826839757</v>
      </c>
      <c r="U494" s="5">
        <v>3</v>
      </c>
      <c r="V494" s="6" t="s">
        <v>33</v>
      </c>
      <c r="W494" s="8">
        <v>3.5</v>
      </c>
      <c r="X494" t="str" cm="1">
        <f t="array" ref="X494">_xlfn.IFS(Table1_1[[#This Row],[Customer_Rating]]&lt;3,"Poor",Table1_1[[#This Row],[Customer_Rating]]&lt;4,"Good",Table1_1[[#This Row],[Customer_Rating]]&gt;=4,"Excellent")</f>
        <v>Good</v>
      </c>
    </row>
    <row r="495" spans="1:24" x14ac:dyDescent="0.35">
      <c r="A495" s="2" t="s">
        <v>795</v>
      </c>
      <c r="B495" s="3">
        <v>45823</v>
      </c>
      <c r="C495" s="3" t="str">
        <f>TEXT(Table1_1[[#This Row],[Date]],"YYYY")</f>
        <v>2025</v>
      </c>
      <c r="D495" s="3" t="str">
        <f>TEXT(Table1_1[[#This Row],[Date]],"mmm")</f>
        <v>Jun</v>
      </c>
      <c r="E495" s="2" t="s">
        <v>39</v>
      </c>
      <c r="F495" s="2" t="str">
        <f>INDEX(IndiGo_Flight_Data!$R$2:$R$11,MATCH(Table1_1[[#This Row],[Route]],_xlfn.ANCHORARRAY(IndiGo_Flight_Data!$Q$2),0))</f>
        <v>Bengaluru - Delhi</v>
      </c>
      <c r="G495" s="2" t="s">
        <v>43</v>
      </c>
      <c r="H495">
        <v>161</v>
      </c>
      <c r="I495">
        <v>232</v>
      </c>
      <c r="J495">
        <f>Table1_1[[#This Row],[Seat_Capacity]]-Table1_1[[#This Row],[Passengers]]</f>
        <v>71</v>
      </c>
      <c r="K495">
        <v>69.400000000000006</v>
      </c>
      <c r="L495" t="str" cm="1">
        <f t="array" ref="L495">_xlfn.IFS(Table1_1[[#This Row],[Load_Factor_%]]&lt;60,"Low",Table1_1[[#This Row],[Load_Factor_%]]&lt;85,"Intermediate",Table1_1[[#This Row],[Load_Factor_%]]&gt;=85,"High")</f>
        <v>Intermediate</v>
      </c>
      <c r="M495" s="4">
        <v>1411556</v>
      </c>
      <c r="N495" s="4">
        <v>97744</v>
      </c>
      <c r="O495" s="4">
        <f>SUM(Table1_1[[#This Row],[Ticket_Revenue_INR]:[Cargo_Revenue_INR]])</f>
        <v>1509300</v>
      </c>
      <c r="P495" s="4">
        <v>848425</v>
      </c>
      <c r="Q495" s="4">
        <v>1414808</v>
      </c>
      <c r="R495" s="4">
        <f>SUM(Table1_1[[#This Row],[Fuel_Cost_INR]:[Operating_Cost_INR]])</f>
        <v>2263233</v>
      </c>
      <c r="S495" s="4">
        <f>Table1_1[[#This Row],[Total_Revenue]]-Table1_1[[#This Row],[Total_Cost]]</f>
        <v>-753933</v>
      </c>
      <c r="T495" s="9">
        <f>(Table1_1[[#This Row],[Total_Profit]]/Table1_1[[#This Row],[Total_Revenue]])</f>
        <v>-0.49952494533889885</v>
      </c>
      <c r="U495" s="5">
        <v>30</v>
      </c>
      <c r="V495" s="6" t="s">
        <v>18</v>
      </c>
      <c r="W495" s="8">
        <v>3.2</v>
      </c>
      <c r="X495" t="str" cm="1">
        <f t="array" ref="X495">_xlfn.IFS(Table1_1[[#This Row],[Customer_Rating]]&lt;3,"Poor",Table1_1[[#This Row],[Customer_Rating]]&lt;4,"Good",Table1_1[[#This Row],[Customer_Rating]]&gt;=4,"Excellent")</f>
        <v>Good</v>
      </c>
    </row>
    <row r="496" spans="1:24" x14ac:dyDescent="0.35">
      <c r="A496" s="2" t="s">
        <v>797</v>
      </c>
      <c r="B496" s="3">
        <v>45663</v>
      </c>
      <c r="C496" s="3" t="str">
        <f>TEXT(Table1_1[[#This Row],[Date]],"YYYY")</f>
        <v>2025</v>
      </c>
      <c r="D496" s="3" t="str">
        <f>TEXT(Table1_1[[#This Row],[Date]],"mmm")</f>
        <v>Jan</v>
      </c>
      <c r="E496" s="2" t="s">
        <v>32</v>
      </c>
      <c r="F496" s="2" t="str">
        <f>INDEX(IndiGo_Flight_Data!$R$2:$R$11,MATCH(Table1_1[[#This Row],[Route]],_xlfn.ANCHORARRAY(IndiGo_Flight_Data!$Q$2),0))</f>
        <v>Bengaluru - Cochin</v>
      </c>
      <c r="G496" s="2" t="s">
        <v>24</v>
      </c>
      <c r="H496">
        <v>174</v>
      </c>
      <c r="I496">
        <v>180</v>
      </c>
      <c r="J496">
        <f>Table1_1[[#This Row],[Seat_Capacity]]-Table1_1[[#This Row],[Passengers]]</f>
        <v>6</v>
      </c>
      <c r="K496">
        <v>96.67</v>
      </c>
      <c r="L496" t="str" cm="1">
        <f t="array" ref="L496">_xlfn.IFS(Table1_1[[#This Row],[Load_Factor_%]]&lt;60,"Low",Table1_1[[#This Row],[Load_Factor_%]]&lt;85,"Intermediate",Table1_1[[#This Row],[Load_Factor_%]]&gt;=85,"High")</f>
        <v>High</v>
      </c>
      <c r="M496" s="4">
        <v>1344550</v>
      </c>
      <c r="N496" s="4">
        <v>58030</v>
      </c>
      <c r="O496" s="4">
        <f>SUM(Table1_1[[#This Row],[Ticket_Revenue_INR]:[Cargo_Revenue_INR]])</f>
        <v>1402580</v>
      </c>
      <c r="P496" s="4">
        <v>663455</v>
      </c>
      <c r="Q496" s="4">
        <v>1331409</v>
      </c>
      <c r="R496" s="4">
        <f>SUM(Table1_1[[#This Row],[Fuel_Cost_INR]:[Operating_Cost_INR]])</f>
        <v>1994864</v>
      </c>
      <c r="S496" s="4">
        <f>Table1_1[[#This Row],[Total_Revenue]]-Table1_1[[#This Row],[Total_Cost]]</f>
        <v>-592284</v>
      </c>
      <c r="T496" s="9">
        <f>(Table1_1[[#This Row],[Total_Profit]]/Table1_1[[#This Row],[Total_Revenue]])</f>
        <v>-0.42228179497782659</v>
      </c>
      <c r="U496" s="5">
        <v>57</v>
      </c>
      <c r="V496" s="6" t="s">
        <v>18</v>
      </c>
      <c r="W496" s="8">
        <v>3.7</v>
      </c>
      <c r="X496" t="str" cm="1">
        <f t="array" ref="X496">_xlfn.IFS(Table1_1[[#This Row],[Customer_Rating]]&lt;3,"Poor",Table1_1[[#This Row],[Customer_Rating]]&lt;4,"Good",Table1_1[[#This Row],[Customer_Rating]]&gt;=4,"Excellent")</f>
        <v>Good</v>
      </c>
    </row>
    <row r="497" spans="1:24" x14ac:dyDescent="0.35">
      <c r="A497" s="2" t="s">
        <v>798</v>
      </c>
      <c r="B497" s="3">
        <v>45909</v>
      </c>
      <c r="C497" s="3" t="str">
        <f>TEXT(Table1_1[[#This Row],[Date]],"YYYY")</f>
        <v>2025</v>
      </c>
      <c r="D497" s="3" t="str">
        <f>TEXT(Table1_1[[#This Row],[Date]],"mmm")</f>
        <v>Sep</v>
      </c>
      <c r="E497" s="2" t="s">
        <v>42</v>
      </c>
      <c r="F497" s="2" t="str">
        <f>INDEX(IndiGo_Flight_Data!$R$2:$R$11,MATCH(Table1_1[[#This Row],[Route]],_xlfn.ANCHORARRAY(IndiGo_Flight_Data!$Q$2),0))</f>
        <v>Bombay - Hyderabad</v>
      </c>
      <c r="G497" s="2" t="s">
        <v>17</v>
      </c>
      <c r="H497">
        <v>69</v>
      </c>
      <c r="I497">
        <v>78</v>
      </c>
      <c r="J497">
        <f>Table1_1[[#This Row],[Seat_Capacity]]-Table1_1[[#This Row],[Passengers]]</f>
        <v>9</v>
      </c>
      <c r="K497">
        <v>88.46</v>
      </c>
      <c r="L497" t="str" cm="1">
        <f t="array" ref="L497">_xlfn.IFS(Table1_1[[#This Row],[Load_Factor_%]]&lt;60,"Low",Table1_1[[#This Row],[Load_Factor_%]]&lt;85,"Intermediate",Table1_1[[#This Row],[Load_Factor_%]]&gt;=85,"High")</f>
        <v>High</v>
      </c>
      <c r="M497" s="4">
        <v>530751</v>
      </c>
      <c r="N497" s="4">
        <v>139948</v>
      </c>
      <c r="O497" s="4">
        <f>SUM(Table1_1[[#This Row],[Ticket_Revenue_INR]:[Cargo_Revenue_INR]])</f>
        <v>670699</v>
      </c>
      <c r="P497" s="4">
        <v>761250</v>
      </c>
      <c r="Q497" s="4">
        <v>1248210</v>
      </c>
      <c r="R497" s="4">
        <f>SUM(Table1_1[[#This Row],[Fuel_Cost_INR]:[Operating_Cost_INR]])</f>
        <v>2009460</v>
      </c>
      <c r="S497" s="4">
        <f>Table1_1[[#This Row],[Total_Revenue]]-Table1_1[[#This Row],[Total_Cost]]</f>
        <v>-1338761</v>
      </c>
      <c r="T497" s="9">
        <f>(Table1_1[[#This Row],[Total_Profit]]/Table1_1[[#This Row],[Total_Revenue]])</f>
        <v>-1.9960682810023573</v>
      </c>
      <c r="U497" s="5">
        <v>47</v>
      </c>
      <c r="V497" s="6" t="s">
        <v>18</v>
      </c>
      <c r="W497" s="8">
        <v>4.7</v>
      </c>
      <c r="X497" t="str" cm="1">
        <f t="array" ref="X497">_xlfn.IFS(Table1_1[[#This Row],[Customer_Rating]]&lt;3,"Poor",Table1_1[[#This Row],[Customer_Rating]]&lt;4,"Good",Table1_1[[#This Row],[Customer_Rating]]&gt;=4,"Excellent")</f>
        <v>Excellent</v>
      </c>
    </row>
    <row r="498" spans="1:24" x14ac:dyDescent="0.35">
      <c r="A498" s="2" t="s">
        <v>799</v>
      </c>
      <c r="B498" s="3">
        <v>45983</v>
      </c>
      <c r="C498" s="3" t="str">
        <f>TEXT(Table1_1[[#This Row],[Date]],"YYYY")</f>
        <v>2025</v>
      </c>
      <c r="D498" s="3" t="str">
        <f>TEXT(Table1_1[[#This Row],[Date]],"mmm")</f>
        <v>Nov</v>
      </c>
      <c r="E498" s="2" t="s">
        <v>21</v>
      </c>
      <c r="F498" s="2" t="str">
        <f>INDEX(IndiGo_Flight_Data!$R$2:$R$11,MATCH(Table1_1[[#This Row],[Route]],_xlfn.ANCHORARRAY(IndiGo_Flight_Data!$Q$2),0))</f>
        <v>Bengaluru - Hyderabad</v>
      </c>
      <c r="G498" s="2" t="s">
        <v>24</v>
      </c>
      <c r="H498">
        <v>149</v>
      </c>
      <c r="I498">
        <v>180</v>
      </c>
      <c r="J498">
        <f>Table1_1[[#This Row],[Seat_Capacity]]-Table1_1[[#This Row],[Passengers]]</f>
        <v>31</v>
      </c>
      <c r="K498">
        <v>82.78</v>
      </c>
      <c r="L498" t="str" cm="1">
        <f t="array" ref="L498">_xlfn.IFS(Table1_1[[#This Row],[Load_Factor_%]]&lt;60,"Low",Table1_1[[#This Row],[Load_Factor_%]]&lt;85,"Intermediate",Table1_1[[#This Row],[Load_Factor_%]]&gt;=85,"High")</f>
        <v>Intermediate</v>
      </c>
      <c r="M498" s="4">
        <v>548426</v>
      </c>
      <c r="N498" s="4">
        <v>77584</v>
      </c>
      <c r="O498" s="4">
        <f>SUM(Table1_1[[#This Row],[Ticket_Revenue_INR]:[Cargo_Revenue_INR]])</f>
        <v>626010</v>
      </c>
      <c r="P498" s="4">
        <v>820100</v>
      </c>
      <c r="Q498" s="4">
        <v>1320079</v>
      </c>
      <c r="R498" s="4">
        <f>SUM(Table1_1[[#This Row],[Fuel_Cost_INR]:[Operating_Cost_INR]])</f>
        <v>2140179</v>
      </c>
      <c r="S498" s="4">
        <f>Table1_1[[#This Row],[Total_Revenue]]-Table1_1[[#This Row],[Total_Cost]]</f>
        <v>-1514169</v>
      </c>
      <c r="T498" s="9">
        <f>(Table1_1[[#This Row],[Total_Profit]]/Table1_1[[#This Row],[Total_Revenue]])</f>
        <v>-2.4187616811233048</v>
      </c>
      <c r="U498" s="5">
        <v>27</v>
      </c>
      <c r="V498" s="6" t="s">
        <v>18</v>
      </c>
      <c r="W498" s="8">
        <v>3.3</v>
      </c>
      <c r="X498" t="str" cm="1">
        <f t="array" ref="X498">_xlfn.IFS(Table1_1[[#This Row],[Customer_Rating]]&lt;3,"Poor",Table1_1[[#This Row],[Customer_Rating]]&lt;4,"Good",Table1_1[[#This Row],[Customer_Rating]]&gt;=4,"Excellent")</f>
        <v>Good</v>
      </c>
    </row>
    <row r="499" spans="1:24" x14ac:dyDescent="0.35">
      <c r="A499" s="2" t="s">
        <v>800</v>
      </c>
      <c r="B499" s="3">
        <v>45714</v>
      </c>
      <c r="C499" s="3" t="str">
        <f>TEXT(Table1_1[[#This Row],[Date]],"YYYY")</f>
        <v>2025</v>
      </c>
      <c r="D499" s="3" t="str">
        <f>TEXT(Table1_1[[#This Row],[Date]],"mmm")</f>
        <v>Feb</v>
      </c>
      <c r="E499" s="2" t="s">
        <v>32</v>
      </c>
      <c r="F499" s="2" t="str">
        <f>INDEX(IndiGo_Flight_Data!$R$2:$R$11,MATCH(Table1_1[[#This Row],[Route]],_xlfn.ANCHORARRAY(IndiGo_Flight_Data!$Q$2),0))</f>
        <v>Bengaluru - Cochin</v>
      </c>
      <c r="G499" s="2" t="s">
        <v>43</v>
      </c>
      <c r="H499">
        <v>195</v>
      </c>
      <c r="I499">
        <v>232</v>
      </c>
      <c r="J499">
        <f>Table1_1[[#This Row],[Seat_Capacity]]-Table1_1[[#This Row],[Passengers]]</f>
        <v>37</v>
      </c>
      <c r="K499">
        <v>84.05</v>
      </c>
      <c r="L499" t="str" cm="1">
        <f t="array" ref="L499">_xlfn.IFS(Table1_1[[#This Row],[Load_Factor_%]]&lt;60,"Low",Table1_1[[#This Row],[Load_Factor_%]]&lt;85,"Intermediate",Table1_1[[#This Row],[Load_Factor_%]]&gt;=85,"High")</f>
        <v>Intermediate</v>
      </c>
      <c r="M499" s="4">
        <v>1380197</v>
      </c>
      <c r="N499" s="4">
        <v>22464</v>
      </c>
      <c r="O499" s="4">
        <f>SUM(Table1_1[[#This Row],[Ticket_Revenue_INR]:[Cargo_Revenue_INR]])</f>
        <v>1402661</v>
      </c>
      <c r="P499" s="4">
        <v>925823</v>
      </c>
      <c r="Q499" s="4">
        <v>1540768</v>
      </c>
      <c r="R499" s="4">
        <f>SUM(Table1_1[[#This Row],[Fuel_Cost_INR]:[Operating_Cost_INR]])</f>
        <v>2466591</v>
      </c>
      <c r="S499" s="4">
        <f>Table1_1[[#This Row],[Total_Revenue]]-Table1_1[[#This Row],[Total_Cost]]</f>
        <v>-1063930</v>
      </c>
      <c r="T499" s="9">
        <f>(Table1_1[[#This Row],[Total_Profit]]/Table1_1[[#This Row],[Total_Revenue]])</f>
        <v>-0.75850829245270235</v>
      </c>
      <c r="U499" s="5">
        <v>57</v>
      </c>
      <c r="V499" s="6" t="s">
        <v>18</v>
      </c>
      <c r="W499" s="8">
        <v>3.2</v>
      </c>
      <c r="X499" t="str" cm="1">
        <f t="array" ref="X499">_xlfn.IFS(Table1_1[[#This Row],[Customer_Rating]]&lt;3,"Poor",Table1_1[[#This Row],[Customer_Rating]]&lt;4,"Good",Table1_1[[#This Row],[Customer_Rating]]&gt;=4,"Excellent")</f>
        <v>Good</v>
      </c>
    </row>
    <row r="500" spans="1:24" x14ac:dyDescent="0.35">
      <c r="A500" s="2" t="s">
        <v>801</v>
      </c>
      <c r="B500" s="3">
        <v>45669</v>
      </c>
      <c r="C500" s="3" t="str">
        <f>TEXT(Table1_1[[#This Row],[Date]],"YYYY")</f>
        <v>2025</v>
      </c>
      <c r="D500" s="3" t="str">
        <f>TEXT(Table1_1[[#This Row],[Date]],"mmm")</f>
        <v>Jan</v>
      </c>
      <c r="E500" s="2" t="s">
        <v>39</v>
      </c>
      <c r="F500" s="2" t="str">
        <f>INDEX(IndiGo_Flight_Data!$R$2:$R$11,MATCH(Table1_1[[#This Row],[Route]],_xlfn.ANCHORARRAY(IndiGo_Flight_Data!$Q$2),0))</f>
        <v>Bengaluru - Delhi</v>
      </c>
      <c r="G500" s="2" t="s">
        <v>24</v>
      </c>
      <c r="H500">
        <v>165</v>
      </c>
      <c r="I500">
        <v>180</v>
      </c>
      <c r="J500">
        <f>Table1_1[[#This Row],[Seat_Capacity]]-Table1_1[[#This Row],[Passengers]]</f>
        <v>15</v>
      </c>
      <c r="K500">
        <v>91.67</v>
      </c>
      <c r="L500" t="str" cm="1">
        <f t="array" ref="L500">_xlfn.IFS(Table1_1[[#This Row],[Load_Factor_%]]&lt;60,"Low",Table1_1[[#This Row],[Load_Factor_%]]&lt;85,"Intermediate",Table1_1[[#This Row],[Load_Factor_%]]&gt;=85,"High")</f>
        <v>High</v>
      </c>
      <c r="M500" s="4">
        <v>1321004</v>
      </c>
      <c r="N500" s="4">
        <v>56543</v>
      </c>
      <c r="O500" s="4">
        <f>SUM(Table1_1[[#This Row],[Ticket_Revenue_INR]:[Cargo_Revenue_INR]])</f>
        <v>1377547</v>
      </c>
      <c r="P500" s="4">
        <v>1165684</v>
      </c>
      <c r="Q500" s="4">
        <v>1741843</v>
      </c>
      <c r="R500" s="4">
        <f>SUM(Table1_1[[#This Row],[Fuel_Cost_INR]:[Operating_Cost_INR]])</f>
        <v>2907527</v>
      </c>
      <c r="S500" s="4">
        <f>Table1_1[[#This Row],[Total_Revenue]]-Table1_1[[#This Row],[Total_Cost]]</f>
        <v>-1529980</v>
      </c>
      <c r="T500" s="9">
        <f>(Table1_1[[#This Row],[Total_Profit]]/Table1_1[[#This Row],[Total_Revenue]])</f>
        <v>-1.1106553896164704</v>
      </c>
      <c r="U500" s="5">
        <v>10</v>
      </c>
      <c r="V500" s="6" t="s">
        <v>33</v>
      </c>
      <c r="W500" s="8">
        <v>3.3</v>
      </c>
      <c r="X500" t="str" cm="1">
        <f t="array" ref="X500">_xlfn.IFS(Table1_1[[#This Row],[Customer_Rating]]&lt;3,"Poor",Table1_1[[#This Row],[Customer_Rating]]&lt;4,"Good",Table1_1[[#This Row],[Customer_Rating]]&gt;=4,"Excellent")</f>
        <v>Good</v>
      </c>
    </row>
    <row r="501" spans="1:24" x14ac:dyDescent="0.35">
      <c r="A501" s="2" t="s">
        <v>803</v>
      </c>
      <c r="B501" s="3">
        <v>45842</v>
      </c>
      <c r="C501" s="3" t="str">
        <f>TEXT(Table1_1[[#This Row],[Date]],"YYYY")</f>
        <v>2025</v>
      </c>
      <c r="D501" s="3" t="str">
        <f>TEXT(Table1_1[[#This Row],[Date]],"mmm")</f>
        <v>Jul</v>
      </c>
      <c r="E501" s="2" t="s">
        <v>117</v>
      </c>
      <c r="F501" s="2" t="str">
        <f>INDEX(IndiGo_Flight_Data!$R$2:$R$11,MATCH(Table1_1[[#This Row],[Route]],_xlfn.ANCHORARRAY(IndiGo_Flight_Data!$Q$2),0))</f>
        <v>Bengaluru - Calacatta</v>
      </c>
      <c r="G501" s="2" t="s">
        <v>43</v>
      </c>
      <c r="H501">
        <v>195</v>
      </c>
      <c r="I501">
        <v>232</v>
      </c>
      <c r="J501">
        <f>Table1_1[[#This Row],[Seat_Capacity]]-Table1_1[[#This Row],[Passengers]]</f>
        <v>37</v>
      </c>
      <c r="K501">
        <v>84.05</v>
      </c>
      <c r="L501" t="str" cm="1">
        <f t="array" ref="L501">_xlfn.IFS(Table1_1[[#This Row],[Load_Factor_%]]&lt;60,"Low",Table1_1[[#This Row],[Load_Factor_%]]&lt;85,"Intermediate",Table1_1[[#This Row],[Load_Factor_%]]&gt;=85,"High")</f>
        <v>Intermediate</v>
      </c>
      <c r="M501" s="4">
        <v>719344</v>
      </c>
      <c r="N501" s="4">
        <v>133232</v>
      </c>
      <c r="O501" s="4">
        <f>SUM(Table1_1[[#This Row],[Ticket_Revenue_INR]:[Cargo_Revenue_INR]])</f>
        <v>852576</v>
      </c>
      <c r="P501" s="4">
        <v>1018547</v>
      </c>
      <c r="Q501" s="4">
        <v>1202464</v>
      </c>
      <c r="R501" s="4">
        <f>SUM(Table1_1[[#This Row],[Fuel_Cost_INR]:[Operating_Cost_INR]])</f>
        <v>2221011</v>
      </c>
      <c r="S501" s="4">
        <f>Table1_1[[#This Row],[Total_Revenue]]-Table1_1[[#This Row],[Total_Cost]]</f>
        <v>-1368435</v>
      </c>
      <c r="T501" s="9">
        <f>(Table1_1[[#This Row],[Total_Profit]]/Table1_1[[#This Row],[Total_Revenue]])</f>
        <v>-1.6050592557144465</v>
      </c>
      <c r="U501" s="5">
        <v>11</v>
      </c>
      <c r="V501" s="6" t="s">
        <v>33</v>
      </c>
      <c r="W501" s="8">
        <v>4.3</v>
      </c>
      <c r="X501" t="str" cm="1">
        <f t="array" ref="X501">_xlfn.IFS(Table1_1[[#This Row],[Customer_Rating]]&lt;3,"Poor",Table1_1[[#This Row],[Customer_Rating]]&lt;4,"Good",Table1_1[[#This Row],[Customer_Rating]]&gt;=4,"Excellent")</f>
        <v>Excellent</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topLeftCell="N1" workbookViewId="0">
      <selection activeCell="R17" sqref="R17"/>
    </sheetView>
  </sheetViews>
  <sheetFormatPr defaultRowHeight="14.5" x14ac:dyDescent="0.35"/>
  <cols>
    <col min="1" max="1" width="10.1796875" customWidth="1"/>
    <col min="4" max="4" width="14.08984375" customWidth="1"/>
    <col min="5" max="5" width="12.08984375" customWidth="1"/>
    <col min="6" max="6" width="14.54296875" customWidth="1"/>
    <col min="7" max="7" width="15.54296875" customWidth="1"/>
    <col min="8" max="8" width="19.90625" customWidth="1"/>
    <col min="9" max="9" width="19.7265625" customWidth="1"/>
    <col min="10" max="10" width="14.90625" customWidth="1"/>
    <col min="11" max="11" width="19.81640625" customWidth="1"/>
    <col min="12" max="12" width="15.36328125" customWidth="1"/>
    <col min="13" max="13" width="10.36328125" customWidth="1"/>
    <col min="14" max="14" width="17.26953125" customWidth="1"/>
    <col min="18" max="18" width="20.1796875" bestFit="1"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Q1" s="15" t="s">
        <v>870</v>
      </c>
      <c r="R1" s="15" t="s">
        <v>869</v>
      </c>
    </row>
    <row r="2" spans="1:18" x14ac:dyDescent="0.35">
      <c r="A2" t="s">
        <v>14</v>
      </c>
      <c r="B2" t="s">
        <v>15</v>
      </c>
      <c r="C2" t="s">
        <v>16</v>
      </c>
      <c r="D2" t="s">
        <v>17</v>
      </c>
      <c r="E2">
        <v>52</v>
      </c>
      <c r="F2">
        <v>78</v>
      </c>
      <c r="G2">
        <v>66.67</v>
      </c>
      <c r="H2">
        <v>416298</v>
      </c>
      <c r="I2">
        <v>137633</v>
      </c>
      <c r="J2">
        <v>553962</v>
      </c>
      <c r="K2">
        <v>917488</v>
      </c>
      <c r="L2">
        <v>32</v>
      </c>
      <c r="M2" t="s">
        <v>18</v>
      </c>
      <c r="N2">
        <v>4.5999999999999996</v>
      </c>
      <c r="Q2" s="15" t="str" cm="1">
        <f t="array" ref="Q2:Q11">_xlfn.UNIQUE(Table1_1[Route])</f>
        <v>DEL-GOI</v>
      </c>
      <c r="R2" s="15" t="s">
        <v>871</v>
      </c>
    </row>
    <row r="3" spans="1:18" x14ac:dyDescent="0.35">
      <c r="A3" t="s">
        <v>19</v>
      </c>
      <c r="B3" t="s">
        <v>20</v>
      </c>
      <c r="C3" t="s">
        <v>21</v>
      </c>
      <c r="D3" t="s">
        <v>17</v>
      </c>
      <c r="E3">
        <v>69</v>
      </c>
      <c r="F3">
        <v>78</v>
      </c>
      <c r="G3">
        <v>88.46</v>
      </c>
      <c r="H3">
        <v>433932</v>
      </c>
      <c r="I3">
        <v>123900</v>
      </c>
      <c r="J3">
        <v>1081206</v>
      </c>
      <c r="K3">
        <v>1579555</v>
      </c>
      <c r="L3">
        <v>51</v>
      </c>
      <c r="M3" t="s">
        <v>18</v>
      </c>
      <c r="N3">
        <v>4.5999999999999996</v>
      </c>
      <c r="Q3" s="15" t="str">
        <v>BLR-HYD</v>
      </c>
      <c r="R3" s="15" t="s">
        <v>872</v>
      </c>
    </row>
    <row r="4" spans="1:18" x14ac:dyDescent="0.35">
      <c r="A4" t="s">
        <v>22</v>
      </c>
      <c r="B4" t="s">
        <v>23</v>
      </c>
      <c r="C4" t="s">
        <v>16</v>
      </c>
      <c r="D4" t="s">
        <v>24</v>
      </c>
      <c r="E4">
        <v>156</v>
      </c>
      <c r="F4">
        <v>180</v>
      </c>
      <c r="G4">
        <v>86.67</v>
      </c>
      <c r="H4">
        <v>1160664</v>
      </c>
      <c r="I4">
        <v>88975</v>
      </c>
      <c r="J4">
        <v>571295</v>
      </c>
      <c r="K4">
        <v>1181899</v>
      </c>
      <c r="L4">
        <v>59</v>
      </c>
      <c r="M4" t="s">
        <v>18</v>
      </c>
      <c r="N4">
        <v>4</v>
      </c>
      <c r="Q4" s="15" t="str">
        <v>CCU-DEL</v>
      </c>
      <c r="R4" s="15" t="s">
        <v>880</v>
      </c>
    </row>
    <row r="5" spans="1:18" x14ac:dyDescent="0.35">
      <c r="A5" t="s">
        <v>25</v>
      </c>
      <c r="B5" t="s">
        <v>26</v>
      </c>
      <c r="C5" t="s">
        <v>21</v>
      </c>
      <c r="D5" t="s">
        <v>24</v>
      </c>
      <c r="E5">
        <v>119</v>
      </c>
      <c r="F5">
        <v>180</v>
      </c>
      <c r="G5">
        <v>66.11</v>
      </c>
      <c r="H5">
        <v>563493</v>
      </c>
      <c r="I5">
        <v>94456</v>
      </c>
      <c r="J5">
        <v>667033</v>
      </c>
      <c r="K5">
        <v>1061516</v>
      </c>
      <c r="L5">
        <v>58</v>
      </c>
      <c r="M5" t="s">
        <v>18</v>
      </c>
      <c r="N5">
        <v>4</v>
      </c>
      <c r="Q5" s="15" t="str">
        <v>BLR-COK</v>
      </c>
      <c r="R5" s="15" t="s">
        <v>873</v>
      </c>
    </row>
    <row r="6" spans="1:18" x14ac:dyDescent="0.35">
      <c r="A6" t="s">
        <v>27</v>
      </c>
      <c r="B6" t="s">
        <v>28</v>
      </c>
      <c r="C6" t="s">
        <v>29</v>
      </c>
      <c r="D6" t="s">
        <v>24</v>
      </c>
      <c r="E6">
        <v>160</v>
      </c>
      <c r="F6">
        <v>180</v>
      </c>
      <c r="G6">
        <v>88.89</v>
      </c>
      <c r="H6">
        <v>1412044</v>
      </c>
      <c r="I6">
        <v>38174</v>
      </c>
      <c r="J6">
        <v>538384</v>
      </c>
      <c r="K6">
        <v>1144881</v>
      </c>
      <c r="L6">
        <v>88</v>
      </c>
      <c r="M6" t="s">
        <v>18</v>
      </c>
      <c r="N6">
        <v>4.8</v>
      </c>
      <c r="Q6" s="15" t="str">
        <v>DEL-BOM</v>
      </c>
      <c r="R6" s="15" t="s">
        <v>874</v>
      </c>
    </row>
    <row r="7" spans="1:18" x14ac:dyDescent="0.35">
      <c r="A7" t="s">
        <v>30</v>
      </c>
      <c r="B7" t="s">
        <v>31</v>
      </c>
      <c r="C7" t="s">
        <v>32</v>
      </c>
      <c r="D7" t="s">
        <v>24</v>
      </c>
      <c r="E7">
        <v>120</v>
      </c>
      <c r="F7">
        <v>180</v>
      </c>
      <c r="G7">
        <v>66.67</v>
      </c>
      <c r="H7">
        <v>1076575</v>
      </c>
      <c r="I7">
        <v>23868</v>
      </c>
      <c r="J7">
        <v>595707</v>
      </c>
      <c r="K7">
        <v>701587</v>
      </c>
      <c r="L7">
        <v>13</v>
      </c>
      <c r="M7" t="s">
        <v>33</v>
      </c>
      <c r="N7">
        <v>3.6</v>
      </c>
      <c r="Q7" s="15" t="str">
        <v>BLR-DEL</v>
      </c>
      <c r="R7" s="15" t="s">
        <v>875</v>
      </c>
    </row>
    <row r="8" spans="1:18" x14ac:dyDescent="0.35">
      <c r="A8" t="s">
        <v>34</v>
      </c>
      <c r="B8" t="s">
        <v>35</v>
      </c>
      <c r="C8" t="s">
        <v>36</v>
      </c>
      <c r="D8" t="s">
        <v>17</v>
      </c>
      <c r="E8">
        <v>61</v>
      </c>
      <c r="F8">
        <v>78</v>
      </c>
      <c r="G8">
        <v>78.209999999999994</v>
      </c>
      <c r="H8">
        <v>525482</v>
      </c>
      <c r="I8">
        <v>18066</v>
      </c>
      <c r="J8">
        <v>775146</v>
      </c>
      <c r="K8">
        <v>1167203</v>
      </c>
      <c r="L8">
        <v>77</v>
      </c>
      <c r="M8" t="s">
        <v>18</v>
      </c>
      <c r="N8">
        <v>4.4000000000000004</v>
      </c>
      <c r="Q8" s="15" t="str">
        <v>BOM-HYD</v>
      </c>
      <c r="R8" s="15" t="s">
        <v>876</v>
      </c>
    </row>
    <row r="9" spans="1:18" x14ac:dyDescent="0.35">
      <c r="A9" t="s">
        <v>37</v>
      </c>
      <c r="B9" t="s">
        <v>38</v>
      </c>
      <c r="C9" t="s">
        <v>39</v>
      </c>
      <c r="D9" t="s">
        <v>17</v>
      </c>
      <c r="E9">
        <v>58</v>
      </c>
      <c r="F9">
        <v>78</v>
      </c>
      <c r="G9">
        <v>74.36</v>
      </c>
      <c r="H9">
        <v>278077</v>
      </c>
      <c r="I9">
        <v>81793</v>
      </c>
      <c r="J9">
        <v>903917</v>
      </c>
      <c r="K9">
        <v>1089040</v>
      </c>
      <c r="L9">
        <v>66</v>
      </c>
      <c r="M9" t="s">
        <v>18</v>
      </c>
      <c r="N9">
        <v>3.5</v>
      </c>
      <c r="Q9" s="15" t="str">
        <v>BLR-BOM</v>
      </c>
      <c r="R9" s="15" t="s">
        <v>877</v>
      </c>
    </row>
    <row r="10" spans="1:18" x14ac:dyDescent="0.35">
      <c r="A10" t="s">
        <v>40</v>
      </c>
      <c r="B10" t="s">
        <v>41</v>
      </c>
      <c r="C10" t="s">
        <v>42</v>
      </c>
      <c r="D10" t="s">
        <v>43</v>
      </c>
      <c r="E10">
        <v>150</v>
      </c>
      <c r="F10">
        <v>232</v>
      </c>
      <c r="G10">
        <v>64.66</v>
      </c>
      <c r="H10">
        <v>560539</v>
      </c>
      <c r="I10">
        <v>71419</v>
      </c>
      <c r="J10">
        <v>326492</v>
      </c>
      <c r="K10">
        <v>780855</v>
      </c>
      <c r="L10">
        <v>28</v>
      </c>
      <c r="M10" t="s">
        <v>18</v>
      </c>
      <c r="N10">
        <v>4</v>
      </c>
      <c r="Q10" s="15" t="str">
        <v>MAA-DEL</v>
      </c>
      <c r="R10" s="15" t="s">
        <v>878</v>
      </c>
    </row>
    <row r="11" spans="1:18" x14ac:dyDescent="0.35">
      <c r="A11" t="s">
        <v>44</v>
      </c>
      <c r="B11" t="s">
        <v>45</v>
      </c>
      <c r="C11" t="s">
        <v>36</v>
      </c>
      <c r="D11" t="s">
        <v>24</v>
      </c>
      <c r="E11">
        <v>143</v>
      </c>
      <c r="F11">
        <v>180</v>
      </c>
      <c r="G11">
        <v>79.44</v>
      </c>
      <c r="H11">
        <v>1199770</v>
      </c>
      <c r="I11">
        <v>47837</v>
      </c>
      <c r="J11">
        <v>350273</v>
      </c>
      <c r="K11">
        <v>569894</v>
      </c>
      <c r="L11">
        <v>62</v>
      </c>
      <c r="M11" t="s">
        <v>18</v>
      </c>
      <c r="N11">
        <v>4.5</v>
      </c>
      <c r="Q11" s="15" t="str">
        <v>BLR-CCU</v>
      </c>
      <c r="R11" s="15" t="s">
        <v>879</v>
      </c>
    </row>
    <row r="12" spans="1:18" x14ac:dyDescent="0.35">
      <c r="A12" t="s">
        <v>46</v>
      </c>
      <c r="B12" t="s">
        <v>47</v>
      </c>
      <c r="C12" t="s">
        <v>32</v>
      </c>
      <c r="D12" t="s">
        <v>24</v>
      </c>
      <c r="E12">
        <v>176</v>
      </c>
      <c r="F12">
        <v>180</v>
      </c>
      <c r="G12">
        <v>97.78</v>
      </c>
      <c r="H12">
        <v>1405015</v>
      </c>
      <c r="I12">
        <v>105673</v>
      </c>
      <c r="J12">
        <v>627493</v>
      </c>
      <c r="K12">
        <v>1041494</v>
      </c>
      <c r="L12">
        <v>75</v>
      </c>
      <c r="M12" t="s">
        <v>18</v>
      </c>
      <c r="N12">
        <v>3.8</v>
      </c>
    </row>
    <row r="13" spans="1:18" x14ac:dyDescent="0.35">
      <c r="A13" t="s">
        <v>48</v>
      </c>
      <c r="B13" t="s">
        <v>49</v>
      </c>
      <c r="C13" t="s">
        <v>32</v>
      </c>
      <c r="D13" t="s">
        <v>24</v>
      </c>
      <c r="E13">
        <v>143</v>
      </c>
      <c r="F13">
        <v>180</v>
      </c>
      <c r="G13">
        <v>79.44</v>
      </c>
      <c r="H13">
        <v>864445</v>
      </c>
      <c r="I13">
        <v>19002</v>
      </c>
      <c r="J13">
        <v>452383</v>
      </c>
      <c r="K13">
        <v>869213</v>
      </c>
      <c r="L13">
        <v>68</v>
      </c>
      <c r="M13" t="s">
        <v>18</v>
      </c>
      <c r="N13">
        <v>4.5</v>
      </c>
    </row>
    <row r="14" spans="1:18" x14ac:dyDescent="0.35">
      <c r="A14" t="s">
        <v>50</v>
      </c>
      <c r="B14" t="s">
        <v>35</v>
      </c>
      <c r="C14" t="s">
        <v>32</v>
      </c>
      <c r="D14" t="s">
        <v>24</v>
      </c>
      <c r="E14">
        <v>108</v>
      </c>
      <c r="F14">
        <v>180</v>
      </c>
      <c r="G14">
        <v>60</v>
      </c>
      <c r="H14">
        <v>680336</v>
      </c>
      <c r="I14">
        <v>128190</v>
      </c>
      <c r="J14">
        <v>488979</v>
      </c>
      <c r="K14">
        <v>957702</v>
      </c>
      <c r="L14">
        <v>8</v>
      </c>
      <c r="M14" t="s">
        <v>33</v>
      </c>
      <c r="N14">
        <v>4</v>
      </c>
    </row>
    <row r="15" spans="1:18" x14ac:dyDescent="0.35">
      <c r="A15" t="s">
        <v>51</v>
      </c>
      <c r="B15" t="s">
        <v>52</v>
      </c>
      <c r="C15" t="s">
        <v>21</v>
      </c>
      <c r="D15" t="s">
        <v>17</v>
      </c>
      <c r="E15">
        <v>62</v>
      </c>
      <c r="F15">
        <v>78</v>
      </c>
      <c r="G15">
        <v>79.489999999999995</v>
      </c>
      <c r="H15">
        <v>252119</v>
      </c>
      <c r="I15">
        <v>57564</v>
      </c>
      <c r="J15">
        <v>976509</v>
      </c>
      <c r="K15">
        <v>1250413</v>
      </c>
      <c r="L15">
        <v>60</v>
      </c>
      <c r="M15" t="s">
        <v>18</v>
      </c>
      <c r="N15">
        <v>3.2</v>
      </c>
    </row>
    <row r="16" spans="1:18" x14ac:dyDescent="0.35">
      <c r="A16" t="s">
        <v>53</v>
      </c>
      <c r="B16" t="s">
        <v>54</v>
      </c>
      <c r="C16" t="s">
        <v>16</v>
      </c>
      <c r="D16" t="s">
        <v>17</v>
      </c>
      <c r="E16">
        <v>60</v>
      </c>
      <c r="F16">
        <v>78</v>
      </c>
      <c r="G16">
        <v>76.92</v>
      </c>
      <c r="H16">
        <v>358179</v>
      </c>
      <c r="I16">
        <v>119557</v>
      </c>
      <c r="J16">
        <v>1102755</v>
      </c>
      <c r="K16">
        <v>1329274</v>
      </c>
      <c r="L16">
        <v>23</v>
      </c>
      <c r="M16" t="s">
        <v>18</v>
      </c>
      <c r="N16">
        <v>3.4</v>
      </c>
    </row>
    <row r="17" spans="1:14" x14ac:dyDescent="0.35">
      <c r="A17" t="s">
        <v>55</v>
      </c>
      <c r="B17" t="s">
        <v>56</v>
      </c>
      <c r="C17" t="s">
        <v>39</v>
      </c>
      <c r="D17" t="s">
        <v>17</v>
      </c>
      <c r="E17">
        <v>46</v>
      </c>
      <c r="F17">
        <v>78</v>
      </c>
      <c r="G17">
        <v>58.97</v>
      </c>
      <c r="H17">
        <v>229070</v>
      </c>
      <c r="I17">
        <v>98425</v>
      </c>
      <c r="J17">
        <v>695113</v>
      </c>
      <c r="K17">
        <v>1033032</v>
      </c>
      <c r="L17">
        <v>36</v>
      </c>
      <c r="M17" t="s">
        <v>18</v>
      </c>
      <c r="N17">
        <v>4.5999999999999996</v>
      </c>
    </row>
    <row r="18" spans="1:14" x14ac:dyDescent="0.35">
      <c r="A18" t="s">
        <v>57</v>
      </c>
      <c r="B18" t="s">
        <v>58</v>
      </c>
      <c r="C18" t="s">
        <v>59</v>
      </c>
      <c r="D18" t="s">
        <v>43</v>
      </c>
      <c r="E18">
        <v>207</v>
      </c>
      <c r="F18">
        <v>232</v>
      </c>
      <c r="G18">
        <v>89.22</v>
      </c>
      <c r="H18">
        <v>1517723</v>
      </c>
      <c r="I18">
        <v>38841</v>
      </c>
      <c r="J18">
        <v>395556</v>
      </c>
      <c r="K18">
        <v>657365</v>
      </c>
      <c r="L18">
        <v>6</v>
      </c>
      <c r="M18" t="s">
        <v>33</v>
      </c>
      <c r="N18">
        <v>3.5</v>
      </c>
    </row>
    <row r="19" spans="1:14" x14ac:dyDescent="0.35">
      <c r="A19" t="s">
        <v>60</v>
      </c>
      <c r="B19" t="s">
        <v>61</v>
      </c>
      <c r="C19" t="s">
        <v>39</v>
      </c>
      <c r="D19" t="s">
        <v>43</v>
      </c>
      <c r="E19">
        <v>220</v>
      </c>
      <c r="F19">
        <v>232</v>
      </c>
      <c r="G19">
        <v>94.83</v>
      </c>
      <c r="H19">
        <v>1022492</v>
      </c>
      <c r="I19">
        <v>128868</v>
      </c>
      <c r="J19">
        <v>1199424</v>
      </c>
      <c r="K19">
        <v>1611052</v>
      </c>
      <c r="L19">
        <v>12</v>
      </c>
      <c r="M19" t="s">
        <v>33</v>
      </c>
      <c r="N19">
        <v>4.5</v>
      </c>
    </row>
    <row r="20" spans="1:14" x14ac:dyDescent="0.35">
      <c r="A20" t="s">
        <v>62</v>
      </c>
      <c r="B20" t="s">
        <v>63</v>
      </c>
      <c r="C20" t="s">
        <v>59</v>
      </c>
      <c r="D20" t="s">
        <v>43</v>
      </c>
      <c r="E20">
        <v>206</v>
      </c>
      <c r="F20">
        <v>232</v>
      </c>
      <c r="G20">
        <v>88.79</v>
      </c>
      <c r="H20">
        <v>1663426</v>
      </c>
      <c r="I20">
        <v>92596</v>
      </c>
      <c r="J20">
        <v>699917</v>
      </c>
      <c r="K20">
        <v>1314679</v>
      </c>
      <c r="L20">
        <v>27</v>
      </c>
      <c r="M20" t="s">
        <v>18</v>
      </c>
      <c r="N20">
        <v>4.4000000000000004</v>
      </c>
    </row>
    <row r="21" spans="1:14" x14ac:dyDescent="0.35">
      <c r="A21" t="s">
        <v>64</v>
      </c>
      <c r="B21" t="s">
        <v>65</v>
      </c>
      <c r="C21" t="s">
        <v>21</v>
      </c>
      <c r="D21" t="s">
        <v>43</v>
      </c>
      <c r="E21">
        <v>167</v>
      </c>
      <c r="F21">
        <v>232</v>
      </c>
      <c r="G21">
        <v>71.98</v>
      </c>
      <c r="H21">
        <v>597979</v>
      </c>
      <c r="I21">
        <v>108783</v>
      </c>
      <c r="J21">
        <v>538692</v>
      </c>
      <c r="K21">
        <v>1122269</v>
      </c>
      <c r="L21">
        <v>8</v>
      </c>
      <c r="M21" t="s">
        <v>33</v>
      </c>
      <c r="N21">
        <v>4.3</v>
      </c>
    </row>
    <row r="22" spans="1:14" x14ac:dyDescent="0.35">
      <c r="A22" t="s">
        <v>66</v>
      </c>
      <c r="B22" t="s">
        <v>67</v>
      </c>
      <c r="C22" t="s">
        <v>36</v>
      </c>
      <c r="D22" t="s">
        <v>24</v>
      </c>
      <c r="E22">
        <v>127</v>
      </c>
      <c r="F22">
        <v>180</v>
      </c>
      <c r="G22">
        <v>70.56</v>
      </c>
      <c r="H22">
        <v>847210</v>
      </c>
      <c r="I22">
        <v>70310</v>
      </c>
      <c r="J22">
        <v>889914</v>
      </c>
      <c r="K22">
        <v>1148596</v>
      </c>
      <c r="L22">
        <v>4</v>
      </c>
      <c r="M22" t="s">
        <v>33</v>
      </c>
      <c r="N22">
        <v>4.3</v>
      </c>
    </row>
    <row r="23" spans="1:14" x14ac:dyDescent="0.35">
      <c r="A23" t="s">
        <v>68</v>
      </c>
      <c r="B23" t="s">
        <v>69</v>
      </c>
      <c r="C23" t="s">
        <v>42</v>
      </c>
      <c r="D23" t="s">
        <v>24</v>
      </c>
      <c r="E23">
        <v>146</v>
      </c>
      <c r="F23">
        <v>180</v>
      </c>
      <c r="G23">
        <v>81.11</v>
      </c>
      <c r="H23">
        <v>989633</v>
      </c>
      <c r="I23">
        <v>97579</v>
      </c>
      <c r="J23">
        <v>381248</v>
      </c>
      <c r="K23">
        <v>595995</v>
      </c>
      <c r="L23">
        <v>66</v>
      </c>
      <c r="M23" t="s">
        <v>18</v>
      </c>
      <c r="N23">
        <v>4.5</v>
      </c>
    </row>
    <row r="24" spans="1:14" x14ac:dyDescent="0.35">
      <c r="A24" t="s">
        <v>70</v>
      </c>
      <c r="B24" t="s">
        <v>71</v>
      </c>
      <c r="C24" t="s">
        <v>59</v>
      </c>
      <c r="D24" t="s">
        <v>24</v>
      </c>
      <c r="E24">
        <v>148</v>
      </c>
      <c r="F24">
        <v>180</v>
      </c>
      <c r="G24">
        <v>82.22</v>
      </c>
      <c r="H24">
        <v>1010900</v>
      </c>
      <c r="I24">
        <v>86393</v>
      </c>
      <c r="J24">
        <v>486815</v>
      </c>
      <c r="K24">
        <v>602843</v>
      </c>
      <c r="L24">
        <v>81</v>
      </c>
      <c r="M24" t="s">
        <v>18</v>
      </c>
      <c r="N24">
        <v>3.8</v>
      </c>
    </row>
    <row r="25" spans="1:14" x14ac:dyDescent="0.35">
      <c r="A25" t="s">
        <v>72</v>
      </c>
      <c r="B25" t="s">
        <v>73</v>
      </c>
      <c r="C25" t="s">
        <v>29</v>
      </c>
      <c r="D25" t="s">
        <v>24</v>
      </c>
      <c r="E25">
        <v>173</v>
      </c>
      <c r="F25">
        <v>180</v>
      </c>
      <c r="G25">
        <v>96.11</v>
      </c>
      <c r="H25">
        <v>1124354</v>
      </c>
      <c r="I25">
        <v>77244</v>
      </c>
      <c r="J25">
        <v>1121815</v>
      </c>
      <c r="K25">
        <v>1363943</v>
      </c>
      <c r="L25">
        <v>83</v>
      </c>
      <c r="M25" t="s">
        <v>18</v>
      </c>
      <c r="N25">
        <v>3.3</v>
      </c>
    </row>
    <row r="26" spans="1:14" x14ac:dyDescent="0.35">
      <c r="A26" t="s">
        <v>74</v>
      </c>
      <c r="B26" t="s">
        <v>75</v>
      </c>
      <c r="C26" t="s">
        <v>76</v>
      </c>
      <c r="D26" t="s">
        <v>43</v>
      </c>
      <c r="E26">
        <v>214</v>
      </c>
      <c r="F26">
        <v>232</v>
      </c>
      <c r="G26">
        <v>92.24</v>
      </c>
      <c r="H26">
        <v>940084</v>
      </c>
      <c r="I26">
        <v>148323</v>
      </c>
      <c r="J26">
        <v>294213</v>
      </c>
      <c r="K26">
        <v>481247</v>
      </c>
      <c r="L26">
        <v>51</v>
      </c>
      <c r="M26" t="s">
        <v>18</v>
      </c>
      <c r="N26">
        <v>4</v>
      </c>
    </row>
    <row r="27" spans="1:14" x14ac:dyDescent="0.35">
      <c r="A27" t="s">
        <v>77</v>
      </c>
      <c r="B27" t="s">
        <v>78</v>
      </c>
      <c r="C27" t="s">
        <v>42</v>
      </c>
      <c r="D27" t="s">
        <v>43</v>
      </c>
      <c r="E27">
        <v>197</v>
      </c>
      <c r="F27">
        <v>232</v>
      </c>
      <c r="G27">
        <v>84.91</v>
      </c>
      <c r="H27">
        <v>1425114</v>
      </c>
      <c r="I27">
        <v>88822</v>
      </c>
      <c r="J27">
        <v>822844</v>
      </c>
      <c r="K27">
        <v>1174756</v>
      </c>
      <c r="L27">
        <v>40</v>
      </c>
      <c r="M27" t="s">
        <v>18</v>
      </c>
      <c r="N27">
        <v>3.5</v>
      </c>
    </row>
    <row r="28" spans="1:14" x14ac:dyDescent="0.35">
      <c r="A28" t="s">
        <v>79</v>
      </c>
      <c r="B28" t="s">
        <v>80</v>
      </c>
      <c r="C28" t="s">
        <v>76</v>
      </c>
      <c r="D28" t="s">
        <v>24</v>
      </c>
      <c r="E28">
        <v>115</v>
      </c>
      <c r="F28">
        <v>180</v>
      </c>
      <c r="G28">
        <v>63.89</v>
      </c>
      <c r="H28">
        <v>462419</v>
      </c>
      <c r="I28">
        <v>55545</v>
      </c>
      <c r="J28">
        <v>305586</v>
      </c>
      <c r="K28">
        <v>826616</v>
      </c>
      <c r="L28">
        <v>36</v>
      </c>
      <c r="M28" t="s">
        <v>18</v>
      </c>
      <c r="N28">
        <v>3.4</v>
      </c>
    </row>
    <row r="29" spans="1:14" x14ac:dyDescent="0.35">
      <c r="A29" t="s">
        <v>81</v>
      </c>
      <c r="B29" t="s">
        <v>82</v>
      </c>
      <c r="C29" t="s">
        <v>59</v>
      </c>
      <c r="D29" t="s">
        <v>24</v>
      </c>
      <c r="E29">
        <v>110</v>
      </c>
      <c r="F29">
        <v>180</v>
      </c>
      <c r="G29">
        <v>61.11</v>
      </c>
      <c r="H29">
        <v>544600</v>
      </c>
      <c r="I29">
        <v>102380</v>
      </c>
      <c r="J29">
        <v>1051917</v>
      </c>
      <c r="K29">
        <v>1334628</v>
      </c>
      <c r="L29">
        <v>67</v>
      </c>
      <c r="M29" t="s">
        <v>18</v>
      </c>
      <c r="N29">
        <v>4.3</v>
      </c>
    </row>
    <row r="30" spans="1:14" x14ac:dyDescent="0.35">
      <c r="A30" t="s">
        <v>83</v>
      </c>
      <c r="B30" t="s">
        <v>84</v>
      </c>
      <c r="C30" t="s">
        <v>16</v>
      </c>
      <c r="D30" t="s">
        <v>24</v>
      </c>
      <c r="E30">
        <v>126</v>
      </c>
      <c r="F30">
        <v>180</v>
      </c>
      <c r="G30">
        <v>70</v>
      </c>
      <c r="H30">
        <v>949025</v>
      </c>
      <c r="I30">
        <v>99945</v>
      </c>
      <c r="J30">
        <v>1184283</v>
      </c>
      <c r="K30">
        <v>1509894</v>
      </c>
      <c r="L30">
        <v>88</v>
      </c>
      <c r="M30" t="s">
        <v>18</v>
      </c>
      <c r="N30">
        <v>3.5</v>
      </c>
    </row>
    <row r="31" spans="1:14" x14ac:dyDescent="0.35">
      <c r="A31" t="s">
        <v>85</v>
      </c>
      <c r="B31" t="s">
        <v>86</v>
      </c>
      <c r="C31" t="s">
        <v>16</v>
      </c>
      <c r="D31" t="s">
        <v>43</v>
      </c>
      <c r="E31">
        <v>176</v>
      </c>
      <c r="F31">
        <v>232</v>
      </c>
      <c r="G31">
        <v>75.86</v>
      </c>
      <c r="H31">
        <v>1248312</v>
      </c>
      <c r="I31">
        <v>116276</v>
      </c>
      <c r="J31">
        <v>696227</v>
      </c>
      <c r="K31">
        <v>1106264</v>
      </c>
      <c r="L31">
        <v>86</v>
      </c>
      <c r="M31" t="s">
        <v>18</v>
      </c>
      <c r="N31">
        <v>4.8</v>
      </c>
    </row>
    <row r="32" spans="1:14" x14ac:dyDescent="0.35">
      <c r="A32" t="s">
        <v>87</v>
      </c>
      <c r="B32" t="s">
        <v>88</v>
      </c>
      <c r="C32" t="s">
        <v>21</v>
      </c>
      <c r="D32" t="s">
        <v>17</v>
      </c>
      <c r="E32">
        <v>61</v>
      </c>
      <c r="F32">
        <v>78</v>
      </c>
      <c r="G32">
        <v>78.209999999999994</v>
      </c>
      <c r="H32">
        <v>441494</v>
      </c>
      <c r="I32">
        <v>63435</v>
      </c>
      <c r="J32">
        <v>885409</v>
      </c>
      <c r="K32">
        <v>1189735</v>
      </c>
      <c r="L32">
        <v>68</v>
      </c>
      <c r="M32" t="s">
        <v>18</v>
      </c>
      <c r="N32">
        <v>3.8</v>
      </c>
    </row>
    <row r="33" spans="1:14" x14ac:dyDescent="0.35">
      <c r="A33" t="s">
        <v>89</v>
      </c>
      <c r="B33" t="s">
        <v>90</v>
      </c>
      <c r="C33" t="s">
        <v>16</v>
      </c>
      <c r="D33" t="s">
        <v>17</v>
      </c>
      <c r="E33">
        <v>59</v>
      </c>
      <c r="F33">
        <v>78</v>
      </c>
      <c r="G33">
        <v>75.64</v>
      </c>
      <c r="H33">
        <v>418353</v>
      </c>
      <c r="I33">
        <v>90115</v>
      </c>
      <c r="J33">
        <v>274558</v>
      </c>
      <c r="K33">
        <v>452061</v>
      </c>
      <c r="L33">
        <v>80</v>
      </c>
      <c r="M33" t="s">
        <v>18</v>
      </c>
      <c r="N33">
        <v>4</v>
      </c>
    </row>
    <row r="34" spans="1:14" x14ac:dyDescent="0.35">
      <c r="A34" t="s">
        <v>91</v>
      </c>
      <c r="B34" t="s">
        <v>92</v>
      </c>
      <c r="C34" t="s">
        <v>59</v>
      </c>
      <c r="D34" t="s">
        <v>17</v>
      </c>
      <c r="E34">
        <v>72</v>
      </c>
      <c r="F34">
        <v>78</v>
      </c>
      <c r="G34">
        <v>92.31</v>
      </c>
      <c r="H34">
        <v>435738</v>
      </c>
      <c r="I34">
        <v>90453</v>
      </c>
      <c r="J34">
        <v>799244</v>
      </c>
      <c r="K34">
        <v>1328017</v>
      </c>
      <c r="L34">
        <v>74</v>
      </c>
      <c r="M34" t="s">
        <v>18</v>
      </c>
      <c r="N34">
        <v>3.6</v>
      </c>
    </row>
    <row r="35" spans="1:14" x14ac:dyDescent="0.35">
      <c r="A35" t="s">
        <v>93</v>
      </c>
      <c r="B35" t="s">
        <v>28</v>
      </c>
      <c r="C35" t="s">
        <v>42</v>
      </c>
      <c r="D35" t="s">
        <v>43</v>
      </c>
      <c r="E35">
        <v>206</v>
      </c>
      <c r="F35">
        <v>232</v>
      </c>
      <c r="G35">
        <v>88.79</v>
      </c>
      <c r="H35">
        <v>802233</v>
      </c>
      <c r="I35">
        <v>144931</v>
      </c>
      <c r="J35">
        <v>262055</v>
      </c>
      <c r="K35">
        <v>494240</v>
      </c>
      <c r="L35">
        <v>87</v>
      </c>
      <c r="M35" t="s">
        <v>18</v>
      </c>
      <c r="N35">
        <v>4.2</v>
      </c>
    </row>
    <row r="36" spans="1:14" x14ac:dyDescent="0.35">
      <c r="A36" t="s">
        <v>94</v>
      </c>
      <c r="B36" t="s">
        <v>56</v>
      </c>
      <c r="C36" t="s">
        <v>32</v>
      </c>
      <c r="D36" t="s">
        <v>43</v>
      </c>
      <c r="E36">
        <v>210</v>
      </c>
      <c r="F36">
        <v>232</v>
      </c>
      <c r="G36">
        <v>90.52</v>
      </c>
      <c r="H36">
        <v>790110</v>
      </c>
      <c r="I36">
        <v>63250</v>
      </c>
      <c r="J36">
        <v>1009113</v>
      </c>
      <c r="K36">
        <v>1413409</v>
      </c>
      <c r="L36">
        <v>12</v>
      </c>
      <c r="M36" t="s">
        <v>33</v>
      </c>
      <c r="N36">
        <v>4.8</v>
      </c>
    </row>
    <row r="37" spans="1:14" x14ac:dyDescent="0.35">
      <c r="A37" t="s">
        <v>95</v>
      </c>
      <c r="B37" t="s">
        <v>96</v>
      </c>
      <c r="C37" t="s">
        <v>59</v>
      </c>
      <c r="D37" t="s">
        <v>24</v>
      </c>
      <c r="E37">
        <v>144</v>
      </c>
      <c r="F37">
        <v>180</v>
      </c>
      <c r="G37">
        <v>80</v>
      </c>
      <c r="H37">
        <v>1148986</v>
      </c>
      <c r="I37">
        <v>72223</v>
      </c>
      <c r="J37">
        <v>959639</v>
      </c>
      <c r="K37">
        <v>1449606</v>
      </c>
      <c r="L37">
        <v>61</v>
      </c>
      <c r="M37" t="s">
        <v>18</v>
      </c>
      <c r="N37">
        <v>4.5</v>
      </c>
    </row>
    <row r="38" spans="1:14" x14ac:dyDescent="0.35">
      <c r="A38" t="s">
        <v>97</v>
      </c>
      <c r="B38" t="s">
        <v>98</v>
      </c>
      <c r="C38" t="s">
        <v>29</v>
      </c>
      <c r="D38" t="s">
        <v>24</v>
      </c>
      <c r="E38">
        <v>155</v>
      </c>
      <c r="F38">
        <v>180</v>
      </c>
      <c r="G38">
        <v>86.11</v>
      </c>
      <c r="H38">
        <v>1005730</v>
      </c>
      <c r="I38">
        <v>30538</v>
      </c>
      <c r="J38">
        <v>267803</v>
      </c>
      <c r="K38">
        <v>375957</v>
      </c>
      <c r="L38">
        <v>7</v>
      </c>
      <c r="M38" t="s">
        <v>33</v>
      </c>
      <c r="N38">
        <v>3.6</v>
      </c>
    </row>
    <row r="39" spans="1:14" x14ac:dyDescent="0.35">
      <c r="A39" t="s">
        <v>99</v>
      </c>
      <c r="B39" t="s">
        <v>100</v>
      </c>
      <c r="C39" t="s">
        <v>21</v>
      </c>
      <c r="D39" t="s">
        <v>24</v>
      </c>
      <c r="E39">
        <v>153</v>
      </c>
      <c r="F39">
        <v>180</v>
      </c>
      <c r="G39">
        <v>85</v>
      </c>
      <c r="H39">
        <v>1132402</v>
      </c>
      <c r="I39">
        <v>32216</v>
      </c>
      <c r="J39">
        <v>435095</v>
      </c>
      <c r="K39">
        <v>1024285</v>
      </c>
      <c r="L39">
        <v>50</v>
      </c>
      <c r="M39" t="s">
        <v>18</v>
      </c>
      <c r="N39">
        <v>4.4000000000000004</v>
      </c>
    </row>
    <row r="40" spans="1:14" x14ac:dyDescent="0.35">
      <c r="A40" t="s">
        <v>101</v>
      </c>
      <c r="B40" t="s">
        <v>102</v>
      </c>
      <c r="C40" t="s">
        <v>21</v>
      </c>
      <c r="D40" t="s">
        <v>43</v>
      </c>
      <c r="E40">
        <v>210</v>
      </c>
      <c r="F40">
        <v>232</v>
      </c>
      <c r="G40">
        <v>90.52</v>
      </c>
      <c r="H40">
        <v>1104839</v>
      </c>
      <c r="I40">
        <v>69140</v>
      </c>
      <c r="J40">
        <v>566810</v>
      </c>
      <c r="K40">
        <v>1196556</v>
      </c>
      <c r="L40">
        <v>6</v>
      </c>
      <c r="M40" t="s">
        <v>33</v>
      </c>
      <c r="N40">
        <v>4.7</v>
      </c>
    </row>
    <row r="41" spans="1:14" x14ac:dyDescent="0.35">
      <c r="A41" t="s">
        <v>103</v>
      </c>
      <c r="B41" t="s">
        <v>104</v>
      </c>
      <c r="C41" t="s">
        <v>21</v>
      </c>
      <c r="D41" t="s">
        <v>17</v>
      </c>
      <c r="E41">
        <v>72</v>
      </c>
      <c r="F41">
        <v>78</v>
      </c>
      <c r="G41">
        <v>92.31</v>
      </c>
      <c r="H41">
        <v>424528</v>
      </c>
      <c r="I41">
        <v>91877</v>
      </c>
      <c r="J41">
        <v>1018863</v>
      </c>
      <c r="K41">
        <v>1561802</v>
      </c>
      <c r="L41">
        <v>60</v>
      </c>
      <c r="M41" t="s">
        <v>18</v>
      </c>
      <c r="N41">
        <v>4.5999999999999996</v>
      </c>
    </row>
    <row r="42" spans="1:14" x14ac:dyDescent="0.35">
      <c r="A42" t="s">
        <v>105</v>
      </c>
      <c r="B42" t="s">
        <v>106</v>
      </c>
      <c r="C42" t="s">
        <v>21</v>
      </c>
      <c r="D42" t="s">
        <v>43</v>
      </c>
      <c r="E42">
        <v>210</v>
      </c>
      <c r="F42">
        <v>232</v>
      </c>
      <c r="G42">
        <v>90.52</v>
      </c>
      <c r="H42">
        <v>1370473</v>
      </c>
      <c r="I42">
        <v>35485</v>
      </c>
      <c r="J42">
        <v>549553</v>
      </c>
      <c r="K42">
        <v>1170645</v>
      </c>
      <c r="L42">
        <v>84</v>
      </c>
      <c r="M42" t="s">
        <v>18</v>
      </c>
      <c r="N42">
        <v>3.9</v>
      </c>
    </row>
    <row r="43" spans="1:14" x14ac:dyDescent="0.35">
      <c r="A43" t="s">
        <v>107</v>
      </c>
      <c r="B43" t="s">
        <v>108</v>
      </c>
      <c r="C43" t="s">
        <v>21</v>
      </c>
      <c r="D43" t="s">
        <v>17</v>
      </c>
      <c r="E43">
        <v>68</v>
      </c>
      <c r="F43">
        <v>78</v>
      </c>
      <c r="G43">
        <v>87.18</v>
      </c>
      <c r="H43">
        <v>501946</v>
      </c>
      <c r="I43">
        <v>37134</v>
      </c>
      <c r="J43">
        <v>1137452</v>
      </c>
      <c r="K43">
        <v>1633847</v>
      </c>
      <c r="L43">
        <v>41</v>
      </c>
      <c r="M43" t="s">
        <v>18</v>
      </c>
      <c r="N43">
        <v>4.2</v>
      </c>
    </row>
    <row r="44" spans="1:14" x14ac:dyDescent="0.35">
      <c r="A44" t="s">
        <v>109</v>
      </c>
      <c r="B44" t="s">
        <v>110</v>
      </c>
      <c r="C44" t="s">
        <v>42</v>
      </c>
      <c r="D44" t="s">
        <v>43</v>
      </c>
      <c r="E44">
        <v>209</v>
      </c>
      <c r="F44">
        <v>232</v>
      </c>
      <c r="G44">
        <v>90.09</v>
      </c>
      <c r="H44">
        <v>1018380</v>
      </c>
      <c r="I44">
        <v>23359</v>
      </c>
      <c r="J44">
        <v>933027</v>
      </c>
      <c r="K44">
        <v>1497383</v>
      </c>
      <c r="L44">
        <v>75</v>
      </c>
      <c r="M44" t="s">
        <v>18</v>
      </c>
      <c r="N44">
        <v>3.9</v>
      </c>
    </row>
    <row r="45" spans="1:14" x14ac:dyDescent="0.35">
      <c r="A45" t="s">
        <v>111</v>
      </c>
      <c r="B45" t="s">
        <v>112</v>
      </c>
      <c r="C45" t="s">
        <v>32</v>
      </c>
      <c r="D45" t="s">
        <v>17</v>
      </c>
      <c r="E45">
        <v>46</v>
      </c>
      <c r="F45">
        <v>78</v>
      </c>
      <c r="G45">
        <v>58.97</v>
      </c>
      <c r="H45">
        <v>356206</v>
      </c>
      <c r="I45">
        <v>105680</v>
      </c>
      <c r="J45">
        <v>801240</v>
      </c>
      <c r="K45">
        <v>902167</v>
      </c>
      <c r="L45">
        <v>18</v>
      </c>
      <c r="M45" t="s">
        <v>18</v>
      </c>
      <c r="N45">
        <v>3.4</v>
      </c>
    </row>
    <row r="46" spans="1:14" x14ac:dyDescent="0.35">
      <c r="A46" t="s">
        <v>113</v>
      </c>
      <c r="B46" t="s">
        <v>114</v>
      </c>
      <c r="C46" t="s">
        <v>29</v>
      </c>
      <c r="D46" t="s">
        <v>17</v>
      </c>
      <c r="E46">
        <v>62</v>
      </c>
      <c r="F46">
        <v>78</v>
      </c>
      <c r="G46">
        <v>79.489999999999995</v>
      </c>
      <c r="H46">
        <v>426836</v>
      </c>
      <c r="I46">
        <v>34958</v>
      </c>
      <c r="J46">
        <v>1085180</v>
      </c>
      <c r="K46">
        <v>1361873</v>
      </c>
      <c r="L46">
        <v>67</v>
      </c>
      <c r="M46" t="s">
        <v>18</v>
      </c>
      <c r="N46">
        <v>4.9000000000000004</v>
      </c>
    </row>
    <row r="47" spans="1:14" x14ac:dyDescent="0.35">
      <c r="A47" t="s">
        <v>115</v>
      </c>
      <c r="B47" t="s">
        <v>116</v>
      </c>
      <c r="C47" t="s">
        <v>117</v>
      </c>
      <c r="D47" t="s">
        <v>43</v>
      </c>
      <c r="E47">
        <v>162</v>
      </c>
      <c r="F47">
        <v>232</v>
      </c>
      <c r="G47">
        <v>69.83</v>
      </c>
      <c r="H47">
        <v>657048</v>
      </c>
      <c r="I47">
        <v>50733</v>
      </c>
      <c r="J47">
        <v>766694</v>
      </c>
      <c r="K47">
        <v>908398</v>
      </c>
      <c r="L47">
        <v>52</v>
      </c>
      <c r="M47" t="s">
        <v>18</v>
      </c>
      <c r="N47">
        <v>4.5</v>
      </c>
    </row>
    <row r="48" spans="1:14" x14ac:dyDescent="0.35">
      <c r="A48" t="s">
        <v>118</v>
      </c>
      <c r="B48" t="s">
        <v>119</v>
      </c>
      <c r="C48" t="s">
        <v>76</v>
      </c>
      <c r="D48" t="s">
        <v>24</v>
      </c>
      <c r="E48">
        <v>170</v>
      </c>
      <c r="F48">
        <v>180</v>
      </c>
      <c r="G48">
        <v>94.44</v>
      </c>
      <c r="H48">
        <v>901160</v>
      </c>
      <c r="I48">
        <v>62125</v>
      </c>
      <c r="J48">
        <v>484493</v>
      </c>
      <c r="K48">
        <v>1162464</v>
      </c>
      <c r="L48">
        <v>9</v>
      </c>
      <c r="M48" t="s">
        <v>33</v>
      </c>
      <c r="N48">
        <v>4.8</v>
      </c>
    </row>
    <row r="49" spans="1:14" x14ac:dyDescent="0.35">
      <c r="A49" t="s">
        <v>120</v>
      </c>
      <c r="B49" t="s">
        <v>121</v>
      </c>
      <c r="C49" t="s">
        <v>42</v>
      </c>
      <c r="D49" t="s">
        <v>24</v>
      </c>
      <c r="E49">
        <v>144</v>
      </c>
      <c r="F49">
        <v>180</v>
      </c>
      <c r="G49">
        <v>80</v>
      </c>
      <c r="H49">
        <v>845591</v>
      </c>
      <c r="I49">
        <v>71410</v>
      </c>
      <c r="J49">
        <v>329726</v>
      </c>
      <c r="K49">
        <v>829706</v>
      </c>
      <c r="L49">
        <v>76</v>
      </c>
      <c r="M49" t="s">
        <v>18</v>
      </c>
      <c r="N49">
        <v>3.8</v>
      </c>
    </row>
    <row r="50" spans="1:14" x14ac:dyDescent="0.35">
      <c r="A50" t="s">
        <v>122</v>
      </c>
      <c r="B50" t="s">
        <v>123</v>
      </c>
      <c r="C50" t="s">
        <v>21</v>
      </c>
      <c r="D50" t="s">
        <v>43</v>
      </c>
      <c r="E50">
        <v>227</v>
      </c>
      <c r="F50">
        <v>232</v>
      </c>
      <c r="G50">
        <v>97.84</v>
      </c>
      <c r="H50">
        <v>1993154</v>
      </c>
      <c r="I50">
        <v>129958</v>
      </c>
      <c r="J50">
        <v>523530</v>
      </c>
      <c r="K50">
        <v>934060</v>
      </c>
      <c r="L50">
        <v>59</v>
      </c>
      <c r="M50" t="s">
        <v>18</v>
      </c>
      <c r="N50">
        <v>3.7</v>
      </c>
    </row>
    <row r="51" spans="1:14" x14ac:dyDescent="0.35">
      <c r="A51" t="s">
        <v>124</v>
      </c>
      <c r="B51" t="s">
        <v>125</v>
      </c>
      <c r="C51" t="s">
        <v>29</v>
      </c>
      <c r="D51" t="s">
        <v>43</v>
      </c>
      <c r="E51">
        <v>186</v>
      </c>
      <c r="F51">
        <v>232</v>
      </c>
      <c r="G51">
        <v>80.17</v>
      </c>
      <c r="H51">
        <v>1473965</v>
      </c>
      <c r="I51">
        <v>73423</v>
      </c>
      <c r="J51">
        <v>1009020</v>
      </c>
      <c r="K51">
        <v>1205988</v>
      </c>
      <c r="L51">
        <v>32</v>
      </c>
      <c r="M51" t="s">
        <v>18</v>
      </c>
      <c r="N51">
        <v>4.4000000000000004</v>
      </c>
    </row>
    <row r="52" spans="1:14" x14ac:dyDescent="0.35">
      <c r="A52" t="s">
        <v>126</v>
      </c>
      <c r="B52" t="s">
        <v>127</v>
      </c>
      <c r="C52" t="s">
        <v>117</v>
      </c>
      <c r="D52" t="s">
        <v>43</v>
      </c>
      <c r="E52">
        <v>197</v>
      </c>
      <c r="F52">
        <v>232</v>
      </c>
      <c r="G52">
        <v>84.91</v>
      </c>
      <c r="H52">
        <v>1287910</v>
      </c>
      <c r="I52">
        <v>79947</v>
      </c>
      <c r="J52">
        <v>305629</v>
      </c>
      <c r="K52">
        <v>485187</v>
      </c>
      <c r="L52">
        <v>11</v>
      </c>
      <c r="M52" t="s">
        <v>33</v>
      </c>
      <c r="N52">
        <v>4.2</v>
      </c>
    </row>
    <row r="53" spans="1:14" x14ac:dyDescent="0.35">
      <c r="A53" t="s">
        <v>128</v>
      </c>
      <c r="B53" t="s">
        <v>129</v>
      </c>
      <c r="C53" t="s">
        <v>117</v>
      </c>
      <c r="D53" t="s">
        <v>43</v>
      </c>
      <c r="E53">
        <v>156</v>
      </c>
      <c r="F53">
        <v>232</v>
      </c>
      <c r="G53">
        <v>67.239999999999995</v>
      </c>
      <c r="H53">
        <v>725600</v>
      </c>
      <c r="I53">
        <v>138307</v>
      </c>
      <c r="J53">
        <v>587180</v>
      </c>
      <c r="K53">
        <v>731686</v>
      </c>
      <c r="L53">
        <v>83</v>
      </c>
      <c r="M53" t="s">
        <v>18</v>
      </c>
      <c r="N53">
        <v>4</v>
      </c>
    </row>
    <row r="54" spans="1:14" x14ac:dyDescent="0.35">
      <c r="A54" t="s">
        <v>130</v>
      </c>
      <c r="B54" t="s">
        <v>26</v>
      </c>
      <c r="C54" t="s">
        <v>21</v>
      </c>
      <c r="D54" t="s">
        <v>17</v>
      </c>
      <c r="E54">
        <v>59</v>
      </c>
      <c r="F54">
        <v>78</v>
      </c>
      <c r="G54">
        <v>75.64</v>
      </c>
      <c r="H54">
        <v>395404</v>
      </c>
      <c r="I54">
        <v>47970</v>
      </c>
      <c r="J54">
        <v>517013</v>
      </c>
      <c r="K54">
        <v>913391</v>
      </c>
      <c r="L54">
        <v>39</v>
      </c>
      <c r="M54" t="s">
        <v>18</v>
      </c>
      <c r="N54">
        <v>3.7</v>
      </c>
    </row>
    <row r="55" spans="1:14" x14ac:dyDescent="0.35">
      <c r="A55" t="s">
        <v>131</v>
      </c>
      <c r="B55" t="s">
        <v>132</v>
      </c>
      <c r="C55" t="s">
        <v>21</v>
      </c>
      <c r="D55" t="s">
        <v>24</v>
      </c>
      <c r="E55">
        <v>151</v>
      </c>
      <c r="F55">
        <v>180</v>
      </c>
      <c r="G55">
        <v>83.89</v>
      </c>
      <c r="H55">
        <v>931267</v>
      </c>
      <c r="I55">
        <v>95933</v>
      </c>
      <c r="J55">
        <v>978971</v>
      </c>
      <c r="K55">
        <v>1487973</v>
      </c>
      <c r="L55">
        <v>69</v>
      </c>
      <c r="M55" t="s">
        <v>18</v>
      </c>
      <c r="N55">
        <v>4.3</v>
      </c>
    </row>
    <row r="56" spans="1:14" x14ac:dyDescent="0.35">
      <c r="A56" t="s">
        <v>133</v>
      </c>
      <c r="B56" t="s">
        <v>134</v>
      </c>
      <c r="C56" t="s">
        <v>76</v>
      </c>
      <c r="D56" t="s">
        <v>17</v>
      </c>
      <c r="E56">
        <v>67</v>
      </c>
      <c r="F56">
        <v>78</v>
      </c>
      <c r="G56">
        <v>85.9</v>
      </c>
      <c r="H56">
        <v>436243</v>
      </c>
      <c r="I56">
        <v>146071</v>
      </c>
      <c r="J56">
        <v>293106</v>
      </c>
      <c r="K56">
        <v>604765</v>
      </c>
      <c r="L56">
        <v>2</v>
      </c>
      <c r="M56" t="s">
        <v>33</v>
      </c>
      <c r="N56">
        <v>4.7</v>
      </c>
    </row>
    <row r="57" spans="1:14" x14ac:dyDescent="0.35">
      <c r="A57" t="s">
        <v>135</v>
      </c>
      <c r="B57" t="s">
        <v>136</v>
      </c>
      <c r="C57" t="s">
        <v>59</v>
      </c>
      <c r="D57" t="s">
        <v>43</v>
      </c>
      <c r="E57">
        <v>216</v>
      </c>
      <c r="F57">
        <v>232</v>
      </c>
      <c r="G57">
        <v>93.1</v>
      </c>
      <c r="H57">
        <v>1528461</v>
      </c>
      <c r="I57">
        <v>144618</v>
      </c>
      <c r="J57">
        <v>327137</v>
      </c>
      <c r="K57">
        <v>960859</v>
      </c>
      <c r="L57">
        <v>5</v>
      </c>
      <c r="M57" t="s">
        <v>33</v>
      </c>
      <c r="N57">
        <v>4.5</v>
      </c>
    </row>
    <row r="58" spans="1:14" x14ac:dyDescent="0.35">
      <c r="A58" t="s">
        <v>137</v>
      </c>
      <c r="B58" t="s">
        <v>138</v>
      </c>
      <c r="C58" t="s">
        <v>76</v>
      </c>
      <c r="D58" t="s">
        <v>43</v>
      </c>
      <c r="E58">
        <v>141</v>
      </c>
      <c r="F58">
        <v>232</v>
      </c>
      <c r="G58">
        <v>60.78</v>
      </c>
      <c r="H58">
        <v>1250365</v>
      </c>
      <c r="I58">
        <v>104138</v>
      </c>
      <c r="J58">
        <v>795253</v>
      </c>
      <c r="K58">
        <v>1168886</v>
      </c>
      <c r="L58">
        <v>46</v>
      </c>
      <c r="M58" t="s">
        <v>18</v>
      </c>
      <c r="N58">
        <v>4.5</v>
      </c>
    </row>
    <row r="59" spans="1:14" x14ac:dyDescent="0.35">
      <c r="A59" t="s">
        <v>139</v>
      </c>
      <c r="B59" t="s">
        <v>140</v>
      </c>
      <c r="C59" t="s">
        <v>39</v>
      </c>
      <c r="D59" t="s">
        <v>24</v>
      </c>
      <c r="E59">
        <v>168</v>
      </c>
      <c r="F59">
        <v>180</v>
      </c>
      <c r="G59">
        <v>93.33</v>
      </c>
      <c r="H59">
        <v>990095</v>
      </c>
      <c r="I59">
        <v>68606</v>
      </c>
      <c r="J59">
        <v>1178868</v>
      </c>
      <c r="K59">
        <v>1755157</v>
      </c>
      <c r="L59">
        <v>28</v>
      </c>
      <c r="M59" t="s">
        <v>18</v>
      </c>
      <c r="N59">
        <v>4.8</v>
      </c>
    </row>
    <row r="60" spans="1:14" x14ac:dyDescent="0.35">
      <c r="A60" t="s">
        <v>141</v>
      </c>
      <c r="B60" t="s">
        <v>106</v>
      </c>
      <c r="C60" t="s">
        <v>36</v>
      </c>
      <c r="D60" t="s">
        <v>24</v>
      </c>
      <c r="E60">
        <v>151</v>
      </c>
      <c r="F60">
        <v>180</v>
      </c>
      <c r="G60">
        <v>83.89</v>
      </c>
      <c r="H60">
        <v>570344</v>
      </c>
      <c r="I60">
        <v>70123</v>
      </c>
      <c r="J60">
        <v>758879</v>
      </c>
      <c r="K60">
        <v>1193337</v>
      </c>
      <c r="L60">
        <v>48</v>
      </c>
      <c r="M60" t="s">
        <v>18</v>
      </c>
      <c r="N60">
        <v>3.3</v>
      </c>
    </row>
    <row r="61" spans="1:14" x14ac:dyDescent="0.35">
      <c r="A61" t="s">
        <v>142</v>
      </c>
      <c r="B61" t="s">
        <v>143</v>
      </c>
      <c r="C61" t="s">
        <v>32</v>
      </c>
      <c r="D61" t="s">
        <v>17</v>
      </c>
      <c r="E61">
        <v>75</v>
      </c>
      <c r="F61">
        <v>78</v>
      </c>
      <c r="G61">
        <v>96.15</v>
      </c>
      <c r="H61">
        <v>585532</v>
      </c>
      <c r="I61">
        <v>16692</v>
      </c>
      <c r="J61">
        <v>568039</v>
      </c>
      <c r="K61">
        <v>1044520</v>
      </c>
      <c r="L61">
        <v>76</v>
      </c>
      <c r="M61" t="s">
        <v>18</v>
      </c>
      <c r="N61">
        <v>4.5</v>
      </c>
    </row>
    <row r="62" spans="1:14" x14ac:dyDescent="0.35">
      <c r="A62" t="s">
        <v>144</v>
      </c>
      <c r="B62" t="s">
        <v>145</v>
      </c>
      <c r="C62" t="s">
        <v>39</v>
      </c>
      <c r="D62" t="s">
        <v>17</v>
      </c>
      <c r="E62">
        <v>75</v>
      </c>
      <c r="F62">
        <v>78</v>
      </c>
      <c r="G62">
        <v>96.15</v>
      </c>
      <c r="H62">
        <v>308922</v>
      </c>
      <c r="I62">
        <v>94806</v>
      </c>
      <c r="J62">
        <v>922052</v>
      </c>
      <c r="K62">
        <v>1507417</v>
      </c>
      <c r="L62">
        <v>75</v>
      </c>
      <c r="M62" t="s">
        <v>18</v>
      </c>
      <c r="N62">
        <v>4.0999999999999996</v>
      </c>
    </row>
    <row r="63" spans="1:14" x14ac:dyDescent="0.35">
      <c r="A63" t="s">
        <v>146</v>
      </c>
      <c r="B63" t="s">
        <v>147</v>
      </c>
      <c r="C63" t="s">
        <v>39</v>
      </c>
      <c r="D63" t="s">
        <v>24</v>
      </c>
      <c r="E63">
        <v>119</v>
      </c>
      <c r="F63">
        <v>180</v>
      </c>
      <c r="G63">
        <v>66.11</v>
      </c>
      <c r="H63">
        <v>746950</v>
      </c>
      <c r="I63">
        <v>110581</v>
      </c>
      <c r="J63">
        <v>502179</v>
      </c>
      <c r="K63">
        <v>1126233</v>
      </c>
      <c r="L63">
        <v>84</v>
      </c>
      <c r="M63" t="s">
        <v>18</v>
      </c>
      <c r="N63">
        <v>3.9</v>
      </c>
    </row>
    <row r="64" spans="1:14" x14ac:dyDescent="0.35">
      <c r="A64" t="s">
        <v>148</v>
      </c>
      <c r="B64" t="s">
        <v>149</v>
      </c>
      <c r="C64" t="s">
        <v>76</v>
      </c>
      <c r="D64" t="s">
        <v>43</v>
      </c>
      <c r="E64">
        <v>166</v>
      </c>
      <c r="F64">
        <v>232</v>
      </c>
      <c r="G64">
        <v>71.55</v>
      </c>
      <c r="H64">
        <v>1176596</v>
      </c>
      <c r="I64">
        <v>34431</v>
      </c>
      <c r="J64">
        <v>1160890</v>
      </c>
      <c r="K64">
        <v>1730071</v>
      </c>
      <c r="L64">
        <v>36</v>
      </c>
      <c r="M64" t="s">
        <v>18</v>
      </c>
      <c r="N64">
        <v>4</v>
      </c>
    </row>
    <row r="65" spans="1:14" x14ac:dyDescent="0.35">
      <c r="A65" t="s">
        <v>150</v>
      </c>
      <c r="B65" t="s">
        <v>151</v>
      </c>
      <c r="C65" t="s">
        <v>36</v>
      </c>
      <c r="D65" t="s">
        <v>24</v>
      </c>
      <c r="E65">
        <v>144</v>
      </c>
      <c r="F65">
        <v>180</v>
      </c>
      <c r="G65">
        <v>80</v>
      </c>
      <c r="H65">
        <v>1042643</v>
      </c>
      <c r="I65">
        <v>26926</v>
      </c>
      <c r="J65">
        <v>418785</v>
      </c>
      <c r="K65">
        <v>867078</v>
      </c>
      <c r="L65">
        <v>62</v>
      </c>
      <c r="M65" t="s">
        <v>18</v>
      </c>
      <c r="N65">
        <v>4.3</v>
      </c>
    </row>
    <row r="66" spans="1:14" x14ac:dyDescent="0.35">
      <c r="A66" t="s">
        <v>152</v>
      </c>
      <c r="B66" t="s">
        <v>112</v>
      </c>
      <c r="C66" t="s">
        <v>59</v>
      </c>
      <c r="D66" t="s">
        <v>43</v>
      </c>
      <c r="E66">
        <v>222</v>
      </c>
      <c r="F66">
        <v>232</v>
      </c>
      <c r="G66">
        <v>95.69</v>
      </c>
      <c r="H66">
        <v>1809683</v>
      </c>
      <c r="I66">
        <v>136822</v>
      </c>
      <c r="J66">
        <v>724487</v>
      </c>
      <c r="K66">
        <v>961708</v>
      </c>
      <c r="L66">
        <v>26</v>
      </c>
      <c r="M66" t="s">
        <v>18</v>
      </c>
      <c r="N66">
        <v>3.4</v>
      </c>
    </row>
    <row r="67" spans="1:14" x14ac:dyDescent="0.35">
      <c r="A67" t="s">
        <v>153</v>
      </c>
      <c r="B67" t="s">
        <v>154</v>
      </c>
      <c r="C67" t="s">
        <v>59</v>
      </c>
      <c r="D67" t="s">
        <v>17</v>
      </c>
      <c r="E67">
        <v>49</v>
      </c>
      <c r="F67">
        <v>78</v>
      </c>
      <c r="G67">
        <v>62.82</v>
      </c>
      <c r="H67">
        <v>259719</v>
      </c>
      <c r="I67">
        <v>49391</v>
      </c>
      <c r="J67">
        <v>568045</v>
      </c>
      <c r="K67">
        <v>776885</v>
      </c>
      <c r="L67">
        <v>87</v>
      </c>
      <c r="M67" t="s">
        <v>18</v>
      </c>
      <c r="N67">
        <v>4.3</v>
      </c>
    </row>
    <row r="68" spans="1:14" x14ac:dyDescent="0.35">
      <c r="A68" t="s">
        <v>155</v>
      </c>
      <c r="B68" t="s">
        <v>156</v>
      </c>
      <c r="C68" t="s">
        <v>117</v>
      </c>
      <c r="D68" t="s">
        <v>17</v>
      </c>
      <c r="E68">
        <v>47</v>
      </c>
      <c r="F68">
        <v>78</v>
      </c>
      <c r="G68">
        <v>60.26</v>
      </c>
      <c r="H68">
        <v>365973</v>
      </c>
      <c r="I68">
        <v>52457</v>
      </c>
      <c r="J68">
        <v>913191</v>
      </c>
      <c r="K68">
        <v>1311249</v>
      </c>
      <c r="L68">
        <v>75</v>
      </c>
      <c r="M68" t="s">
        <v>18</v>
      </c>
      <c r="N68">
        <v>4.2</v>
      </c>
    </row>
    <row r="69" spans="1:14" x14ac:dyDescent="0.35">
      <c r="A69" t="s">
        <v>157</v>
      </c>
      <c r="B69" t="s">
        <v>15</v>
      </c>
      <c r="C69" t="s">
        <v>59</v>
      </c>
      <c r="D69" t="s">
        <v>43</v>
      </c>
      <c r="E69">
        <v>174</v>
      </c>
      <c r="F69">
        <v>232</v>
      </c>
      <c r="G69">
        <v>75</v>
      </c>
      <c r="H69">
        <v>871216</v>
      </c>
      <c r="I69">
        <v>98585</v>
      </c>
      <c r="J69">
        <v>958987</v>
      </c>
      <c r="K69">
        <v>1435257</v>
      </c>
      <c r="L69">
        <v>83</v>
      </c>
      <c r="M69" t="s">
        <v>18</v>
      </c>
      <c r="N69">
        <v>4.7</v>
      </c>
    </row>
    <row r="70" spans="1:14" x14ac:dyDescent="0.35">
      <c r="A70" t="s">
        <v>158</v>
      </c>
      <c r="B70" t="s">
        <v>159</v>
      </c>
      <c r="C70" t="s">
        <v>59</v>
      </c>
      <c r="D70" t="s">
        <v>24</v>
      </c>
      <c r="E70">
        <v>155</v>
      </c>
      <c r="F70">
        <v>180</v>
      </c>
      <c r="G70">
        <v>86.11</v>
      </c>
      <c r="H70">
        <v>1073153</v>
      </c>
      <c r="I70">
        <v>66171</v>
      </c>
      <c r="J70">
        <v>1039894</v>
      </c>
      <c r="K70">
        <v>1404300</v>
      </c>
      <c r="L70">
        <v>66</v>
      </c>
      <c r="M70" t="s">
        <v>18</v>
      </c>
      <c r="N70">
        <v>3.2</v>
      </c>
    </row>
    <row r="71" spans="1:14" x14ac:dyDescent="0.35">
      <c r="A71" t="s">
        <v>160</v>
      </c>
      <c r="B71" t="s">
        <v>69</v>
      </c>
      <c r="C71" t="s">
        <v>42</v>
      </c>
      <c r="D71" t="s">
        <v>17</v>
      </c>
      <c r="E71">
        <v>61</v>
      </c>
      <c r="F71">
        <v>78</v>
      </c>
      <c r="G71">
        <v>78.209999999999994</v>
      </c>
      <c r="H71">
        <v>546591</v>
      </c>
      <c r="I71">
        <v>39897</v>
      </c>
      <c r="J71">
        <v>411442</v>
      </c>
      <c r="K71">
        <v>1072293</v>
      </c>
      <c r="L71">
        <v>59</v>
      </c>
      <c r="M71" t="s">
        <v>18</v>
      </c>
      <c r="N71">
        <v>3.9</v>
      </c>
    </row>
    <row r="72" spans="1:14" x14ac:dyDescent="0.35">
      <c r="A72" t="s">
        <v>161</v>
      </c>
      <c r="B72" t="s">
        <v>162</v>
      </c>
      <c r="C72" t="s">
        <v>117</v>
      </c>
      <c r="D72" t="s">
        <v>24</v>
      </c>
      <c r="E72">
        <v>125</v>
      </c>
      <c r="F72">
        <v>180</v>
      </c>
      <c r="G72">
        <v>69.44</v>
      </c>
      <c r="H72">
        <v>809014</v>
      </c>
      <c r="I72">
        <v>46401</v>
      </c>
      <c r="J72">
        <v>1045703</v>
      </c>
      <c r="K72">
        <v>1309371</v>
      </c>
      <c r="L72">
        <v>89</v>
      </c>
      <c r="M72" t="s">
        <v>18</v>
      </c>
      <c r="N72">
        <v>3.9</v>
      </c>
    </row>
    <row r="73" spans="1:14" x14ac:dyDescent="0.35">
      <c r="A73" t="s">
        <v>163</v>
      </c>
      <c r="B73" t="s">
        <v>78</v>
      </c>
      <c r="C73" t="s">
        <v>29</v>
      </c>
      <c r="D73" t="s">
        <v>43</v>
      </c>
      <c r="E73">
        <v>139</v>
      </c>
      <c r="F73">
        <v>232</v>
      </c>
      <c r="G73">
        <v>59.91</v>
      </c>
      <c r="H73">
        <v>1248617</v>
      </c>
      <c r="I73">
        <v>60111</v>
      </c>
      <c r="J73">
        <v>881441</v>
      </c>
      <c r="K73">
        <v>1129041</v>
      </c>
      <c r="L73">
        <v>49</v>
      </c>
      <c r="M73" t="s">
        <v>18</v>
      </c>
      <c r="N73">
        <v>4.0999999999999996</v>
      </c>
    </row>
    <row r="74" spans="1:14" x14ac:dyDescent="0.35">
      <c r="A74" t="s">
        <v>164</v>
      </c>
      <c r="B74" t="s">
        <v>165</v>
      </c>
      <c r="C74" t="s">
        <v>76</v>
      </c>
      <c r="D74" t="s">
        <v>24</v>
      </c>
      <c r="E74">
        <v>125</v>
      </c>
      <c r="F74">
        <v>180</v>
      </c>
      <c r="G74">
        <v>69.44</v>
      </c>
      <c r="H74">
        <v>924833</v>
      </c>
      <c r="I74">
        <v>27766</v>
      </c>
      <c r="J74">
        <v>359187</v>
      </c>
      <c r="K74">
        <v>970615</v>
      </c>
      <c r="L74">
        <v>9</v>
      </c>
      <c r="M74" t="s">
        <v>33</v>
      </c>
      <c r="N74">
        <v>4.5</v>
      </c>
    </row>
    <row r="75" spans="1:14" x14ac:dyDescent="0.35">
      <c r="A75" t="s">
        <v>166</v>
      </c>
      <c r="B75" t="s">
        <v>167</v>
      </c>
      <c r="C75" t="s">
        <v>117</v>
      </c>
      <c r="D75" t="s">
        <v>24</v>
      </c>
      <c r="E75">
        <v>125</v>
      </c>
      <c r="F75">
        <v>180</v>
      </c>
      <c r="G75">
        <v>69.44</v>
      </c>
      <c r="H75">
        <v>752645</v>
      </c>
      <c r="I75">
        <v>76227</v>
      </c>
      <c r="J75">
        <v>344158</v>
      </c>
      <c r="K75">
        <v>909525</v>
      </c>
      <c r="L75">
        <v>74</v>
      </c>
      <c r="M75" t="s">
        <v>18</v>
      </c>
      <c r="N75">
        <v>4.5999999999999996</v>
      </c>
    </row>
    <row r="76" spans="1:14" x14ac:dyDescent="0.35">
      <c r="A76" t="s">
        <v>168</v>
      </c>
      <c r="B76" t="s">
        <v>169</v>
      </c>
      <c r="C76" t="s">
        <v>16</v>
      </c>
      <c r="D76" t="s">
        <v>43</v>
      </c>
      <c r="E76">
        <v>204</v>
      </c>
      <c r="F76">
        <v>232</v>
      </c>
      <c r="G76">
        <v>87.93</v>
      </c>
      <c r="H76">
        <v>1181226</v>
      </c>
      <c r="I76">
        <v>105562</v>
      </c>
      <c r="J76">
        <v>644435</v>
      </c>
      <c r="K76">
        <v>903931</v>
      </c>
      <c r="L76">
        <v>10</v>
      </c>
      <c r="M76" t="s">
        <v>33</v>
      </c>
      <c r="N76">
        <v>3.4</v>
      </c>
    </row>
    <row r="77" spans="1:14" x14ac:dyDescent="0.35">
      <c r="A77" t="s">
        <v>170</v>
      </c>
      <c r="B77" t="s">
        <v>171</v>
      </c>
      <c r="C77" t="s">
        <v>76</v>
      </c>
      <c r="D77" t="s">
        <v>43</v>
      </c>
      <c r="E77">
        <v>207</v>
      </c>
      <c r="F77">
        <v>232</v>
      </c>
      <c r="G77">
        <v>89.22</v>
      </c>
      <c r="H77">
        <v>1253105</v>
      </c>
      <c r="I77">
        <v>107817</v>
      </c>
      <c r="J77">
        <v>682028</v>
      </c>
      <c r="K77">
        <v>823939</v>
      </c>
      <c r="L77">
        <v>27</v>
      </c>
      <c r="M77" t="s">
        <v>18</v>
      </c>
      <c r="N77">
        <v>4.4000000000000004</v>
      </c>
    </row>
    <row r="78" spans="1:14" x14ac:dyDescent="0.35">
      <c r="A78" t="s">
        <v>172</v>
      </c>
      <c r="B78" t="s">
        <v>173</v>
      </c>
      <c r="C78" t="s">
        <v>29</v>
      </c>
      <c r="D78" t="s">
        <v>24</v>
      </c>
      <c r="E78">
        <v>114</v>
      </c>
      <c r="F78">
        <v>180</v>
      </c>
      <c r="G78">
        <v>63.33</v>
      </c>
      <c r="H78">
        <v>463863</v>
      </c>
      <c r="I78">
        <v>42695</v>
      </c>
      <c r="J78">
        <v>606740</v>
      </c>
      <c r="K78">
        <v>1141135</v>
      </c>
      <c r="L78">
        <v>44</v>
      </c>
      <c r="M78" t="s">
        <v>18</v>
      </c>
      <c r="N78">
        <v>3.9</v>
      </c>
    </row>
    <row r="79" spans="1:14" x14ac:dyDescent="0.35">
      <c r="A79" t="s">
        <v>174</v>
      </c>
      <c r="B79" t="s">
        <v>175</v>
      </c>
      <c r="C79" t="s">
        <v>42</v>
      </c>
      <c r="D79" t="s">
        <v>17</v>
      </c>
      <c r="E79">
        <v>67</v>
      </c>
      <c r="F79">
        <v>78</v>
      </c>
      <c r="G79">
        <v>85.9</v>
      </c>
      <c r="H79">
        <v>382129</v>
      </c>
      <c r="I79">
        <v>19650</v>
      </c>
      <c r="J79">
        <v>439581</v>
      </c>
      <c r="K79">
        <v>674236</v>
      </c>
      <c r="L79">
        <v>55</v>
      </c>
      <c r="M79" t="s">
        <v>18</v>
      </c>
      <c r="N79">
        <v>3.4</v>
      </c>
    </row>
    <row r="80" spans="1:14" x14ac:dyDescent="0.35">
      <c r="A80" t="s">
        <v>176</v>
      </c>
      <c r="B80" t="s">
        <v>177</v>
      </c>
      <c r="C80" t="s">
        <v>16</v>
      </c>
      <c r="D80" t="s">
        <v>24</v>
      </c>
      <c r="E80">
        <v>169</v>
      </c>
      <c r="F80">
        <v>180</v>
      </c>
      <c r="G80">
        <v>93.89</v>
      </c>
      <c r="H80">
        <v>1483120</v>
      </c>
      <c r="I80">
        <v>18106</v>
      </c>
      <c r="J80">
        <v>1096263</v>
      </c>
      <c r="K80">
        <v>1544483</v>
      </c>
      <c r="L80">
        <v>42</v>
      </c>
      <c r="M80" t="s">
        <v>18</v>
      </c>
      <c r="N80">
        <v>4.8</v>
      </c>
    </row>
    <row r="81" spans="1:14" x14ac:dyDescent="0.35">
      <c r="A81" t="s">
        <v>178</v>
      </c>
      <c r="B81" t="s">
        <v>86</v>
      </c>
      <c r="C81" t="s">
        <v>21</v>
      </c>
      <c r="D81" t="s">
        <v>24</v>
      </c>
      <c r="E81">
        <v>134</v>
      </c>
      <c r="F81">
        <v>180</v>
      </c>
      <c r="G81">
        <v>74.44</v>
      </c>
      <c r="H81">
        <v>515374</v>
      </c>
      <c r="I81">
        <v>59655</v>
      </c>
      <c r="J81">
        <v>941132</v>
      </c>
      <c r="K81">
        <v>1448457</v>
      </c>
      <c r="L81">
        <v>22</v>
      </c>
      <c r="M81" t="s">
        <v>18</v>
      </c>
      <c r="N81">
        <v>4.7</v>
      </c>
    </row>
    <row r="82" spans="1:14" x14ac:dyDescent="0.35">
      <c r="A82" t="s">
        <v>179</v>
      </c>
      <c r="B82" t="s">
        <v>180</v>
      </c>
      <c r="C82" t="s">
        <v>16</v>
      </c>
      <c r="D82" t="s">
        <v>43</v>
      </c>
      <c r="E82">
        <v>203</v>
      </c>
      <c r="F82">
        <v>232</v>
      </c>
      <c r="G82">
        <v>87.5</v>
      </c>
      <c r="H82">
        <v>1737451</v>
      </c>
      <c r="I82">
        <v>138870</v>
      </c>
      <c r="J82">
        <v>1052002</v>
      </c>
      <c r="K82">
        <v>1746366</v>
      </c>
      <c r="L82">
        <v>24</v>
      </c>
      <c r="M82" t="s">
        <v>18</v>
      </c>
      <c r="N82">
        <v>3.8</v>
      </c>
    </row>
    <row r="83" spans="1:14" x14ac:dyDescent="0.35">
      <c r="A83" t="s">
        <v>181</v>
      </c>
      <c r="B83" t="s">
        <v>182</v>
      </c>
      <c r="C83" t="s">
        <v>29</v>
      </c>
      <c r="D83" t="s">
        <v>17</v>
      </c>
      <c r="E83">
        <v>60</v>
      </c>
      <c r="F83">
        <v>78</v>
      </c>
      <c r="G83">
        <v>76.92</v>
      </c>
      <c r="H83">
        <v>286043</v>
      </c>
      <c r="I83">
        <v>92365</v>
      </c>
      <c r="J83">
        <v>894411</v>
      </c>
      <c r="K83">
        <v>1564185</v>
      </c>
      <c r="L83">
        <v>68</v>
      </c>
      <c r="M83" t="s">
        <v>18</v>
      </c>
      <c r="N83">
        <v>3.3</v>
      </c>
    </row>
    <row r="84" spans="1:14" x14ac:dyDescent="0.35">
      <c r="A84" t="s">
        <v>183</v>
      </c>
      <c r="B84" t="s">
        <v>184</v>
      </c>
      <c r="C84" t="s">
        <v>36</v>
      </c>
      <c r="D84" t="s">
        <v>43</v>
      </c>
      <c r="E84">
        <v>219</v>
      </c>
      <c r="F84">
        <v>232</v>
      </c>
      <c r="G84">
        <v>94.4</v>
      </c>
      <c r="H84">
        <v>1797421</v>
      </c>
      <c r="I84">
        <v>102253</v>
      </c>
      <c r="J84">
        <v>522232</v>
      </c>
      <c r="K84">
        <v>1079369</v>
      </c>
      <c r="L84">
        <v>11</v>
      </c>
      <c r="M84" t="s">
        <v>33</v>
      </c>
      <c r="N84">
        <v>4.3</v>
      </c>
    </row>
    <row r="85" spans="1:14" x14ac:dyDescent="0.35">
      <c r="A85" t="s">
        <v>185</v>
      </c>
      <c r="B85" t="s">
        <v>167</v>
      </c>
      <c r="C85" t="s">
        <v>39</v>
      </c>
      <c r="D85" t="s">
        <v>43</v>
      </c>
      <c r="E85">
        <v>158</v>
      </c>
      <c r="F85">
        <v>232</v>
      </c>
      <c r="G85">
        <v>68.099999999999994</v>
      </c>
      <c r="H85">
        <v>959305</v>
      </c>
      <c r="I85">
        <v>100913</v>
      </c>
      <c r="J85">
        <v>911214</v>
      </c>
      <c r="K85">
        <v>1213302</v>
      </c>
      <c r="L85">
        <v>41</v>
      </c>
      <c r="M85" t="s">
        <v>18</v>
      </c>
      <c r="N85">
        <v>3.3</v>
      </c>
    </row>
    <row r="86" spans="1:14" x14ac:dyDescent="0.35">
      <c r="A86" t="s">
        <v>186</v>
      </c>
      <c r="B86" t="s">
        <v>187</v>
      </c>
      <c r="C86" t="s">
        <v>16</v>
      </c>
      <c r="D86" t="s">
        <v>24</v>
      </c>
      <c r="E86">
        <v>146</v>
      </c>
      <c r="F86">
        <v>180</v>
      </c>
      <c r="G86">
        <v>81.11</v>
      </c>
      <c r="H86">
        <v>606220</v>
      </c>
      <c r="I86">
        <v>19511</v>
      </c>
      <c r="J86">
        <v>1103754</v>
      </c>
      <c r="K86">
        <v>1706292</v>
      </c>
      <c r="L86">
        <v>21</v>
      </c>
      <c r="M86" t="s">
        <v>18</v>
      </c>
      <c r="N86">
        <v>4.7</v>
      </c>
    </row>
    <row r="87" spans="1:14" x14ac:dyDescent="0.35">
      <c r="A87" t="s">
        <v>188</v>
      </c>
      <c r="B87" t="s">
        <v>189</v>
      </c>
      <c r="C87" t="s">
        <v>59</v>
      </c>
      <c r="D87" t="s">
        <v>17</v>
      </c>
      <c r="E87">
        <v>66</v>
      </c>
      <c r="F87">
        <v>78</v>
      </c>
      <c r="G87">
        <v>84.62</v>
      </c>
      <c r="H87">
        <v>507608</v>
      </c>
      <c r="I87">
        <v>67529</v>
      </c>
      <c r="J87">
        <v>807416</v>
      </c>
      <c r="K87">
        <v>975948</v>
      </c>
      <c r="L87">
        <v>71</v>
      </c>
      <c r="M87" t="s">
        <v>18</v>
      </c>
      <c r="N87">
        <v>3.6</v>
      </c>
    </row>
    <row r="88" spans="1:14" x14ac:dyDescent="0.35">
      <c r="A88" t="s">
        <v>190</v>
      </c>
      <c r="B88" t="s">
        <v>191</v>
      </c>
      <c r="C88" t="s">
        <v>76</v>
      </c>
      <c r="D88" t="s">
        <v>24</v>
      </c>
      <c r="E88">
        <v>133</v>
      </c>
      <c r="F88">
        <v>180</v>
      </c>
      <c r="G88">
        <v>73.89</v>
      </c>
      <c r="H88">
        <v>537296</v>
      </c>
      <c r="I88">
        <v>78707</v>
      </c>
      <c r="J88">
        <v>702370</v>
      </c>
      <c r="K88">
        <v>1084662</v>
      </c>
      <c r="L88">
        <v>30</v>
      </c>
      <c r="M88" t="s">
        <v>18</v>
      </c>
      <c r="N88">
        <v>3.4</v>
      </c>
    </row>
    <row r="89" spans="1:14" x14ac:dyDescent="0.35">
      <c r="A89" t="s">
        <v>192</v>
      </c>
      <c r="B89" t="s">
        <v>193</v>
      </c>
      <c r="C89" t="s">
        <v>36</v>
      </c>
      <c r="D89" t="s">
        <v>43</v>
      </c>
      <c r="E89">
        <v>206</v>
      </c>
      <c r="F89">
        <v>232</v>
      </c>
      <c r="G89">
        <v>88.79</v>
      </c>
      <c r="H89">
        <v>1840052</v>
      </c>
      <c r="I89">
        <v>68093</v>
      </c>
      <c r="J89">
        <v>1028906</v>
      </c>
      <c r="K89">
        <v>1626106</v>
      </c>
      <c r="L89">
        <v>49</v>
      </c>
      <c r="M89" t="s">
        <v>18</v>
      </c>
      <c r="N89">
        <v>4.2</v>
      </c>
    </row>
    <row r="90" spans="1:14" x14ac:dyDescent="0.35">
      <c r="A90" t="s">
        <v>194</v>
      </c>
      <c r="B90" t="s">
        <v>195</v>
      </c>
      <c r="C90" t="s">
        <v>117</v>
      </c>
      <c r="D90" t="s">
        <v>24</v>
      </c>
      <c r="E90">
        <v>138</v>
      </c>
      <c r="F90">
        <v>180</v>
      </c>
      <c r="G90">
        <v>76.67</v>
      </c>
      <c r="H90">
        <v>979309</v>
      </c>
      <c r="I90">
        <v>59594</v>
      </c>
      <c r="J90">
        <v>986061</v>
      </c>
      <c r="K90">
        <v>1665283</v>
      </c>
      <c r="L90">
        <v>17</v>
      </c>
      <c r="M90" t="s">
        <v>18</v>
      </c>
      <c r="N90">
        <v>4.8</v>
      </c>
    </row>
    <row r="91" spans="1:14" x14ac:dyDescent="0.35">
      <c r="A91" t="s">
        <v>196</v>
      </c>
      <c r="B91" t="s">
        <v>197</v>
      </c>
      <c r="C91" t="s">
        <v>59</v>
      </c>
      <c r="D91" t="s">
        <v>17</v>
      </c>
      <c r="E91">
        <v>70</v>
      </c>
      <c r="F91">
        <v>78</v>
      </c>
      <c r="G91">
        <v>89.74</v>
      </c>
      <c r="H91">
        <v>566944</v>
      </c>
      <c r="I91">
        <v>148597</v>
      </c>
      <c r="J91">
        <v>778277</v>
      </c>
      <c r="K91">
        <v>914908</v>
      </c>
      <c r="L91">
        <v>65</v>
      </c>
      <c r="M91" t="s">
        <v>18</v>
      </c>
      <c r="N91">
        <v>3.9</v>
      </c>
    </row>
    <row r="92" spans="1:14" x14ac:dyDescent="0.35">
      <c r="A92" t="s">
        <v>198</v>
      </c>
      <c r="B92" t="s">
        <v>199</v>
      </c>
      <c r="C92" t="s">
        <v>39</v>
      </c>
      <c r="D92" t="s">
        <v>43</v>
      </c>
      <c r="E92">
        <v>166</v>
      </c>
      <c r="F92">
        <v>232</v>
      </c>
      <c r="G92">
        <v>71.55</v>
      </c>
      <c r="H92">
        <v>1423764</v>
      </c>
      <c r="I92">
        <v>89099</v>
      </c>
      <c r="J92">
        <v>1103450</v>
      </c>
      <c r="K92">
        <v>1267103</v>
      </c>
      <c r="L92">
        <v>81</v>
      </c>
      <c r="M92" t="s">
        <v>18</v>
      </c>
      <c r="N92">
        <v>4.4000000000000004</v>
      </c>
    </row>
    <row r="93" spans="1:14" x14ac:dyDescent="0.35">
      <c r="A93" t="s">
        <v>200</v>
      </c>
      <c r="B93" t="s">
        <v>84</v>
      </c>
      <c r="C93" t="s">
        <v>21</v>
      </c>
      <c r="D93" t="s">
        <v>24</v>
      </c>
      <c r="E93">
        <v>164</v>
      </c>
      <c r="F93">
        <v>180</v>
      </c>
      <c r="G93">
        <v>91.11</v>
      </c>
      <c r="H93">
        <v>910667</v>
      </c>
      <c r="I93">
        <v>65720</v>
      </c>
      <c r="J93">
        <v>718374</v>
      </c>
      <c r="K93">
        <v>913979</v>
      </c>
      <c r="L93">
        <v>84</v>
      </c>
      <c r="M93" t="s">
        <v>18</v>
      </c>
      <c r="N93">
        <v>3.3</v>
      </c>
    </row>
    <row r="94" spans="1:14" x14ac:dyDescent="0.35">
      <c r="A94" t="s">
        <v>201</v>
      </c>
      <c r="B94" t="s">
        <v>202</v>
      </c>
      <c r="C94" t="s">
        <v>42</v>
      </c>
      <c r="D94" t="s">
        <v>17</v>
      </c>
      <c r="E94">
        <v>75</v>
      </c>
      <c r="F94">
        <v>78</v>
      </c>
      <c r="G94">
        <v>96.15</v>
      </c>
      <c r="H94">
        <v>273812</v>
      </c>
      <c r="I94">
        <v>37879</v>
      </c>
      <c r="J94">
        <v>431708</v>
      </c>
      <c r="K94">
        <v>816195</v>
      </c>
      <c r="L94">
        <v>49</v>
      </c>
      <c r="M94" t="s">
        <v>18</v>
      </c>
      <c r="N94">
        <v>4.2</v>
      </c>
    </row>
    <row r="95" spans="1:14" x14ac:dyDescent="0.35">
      <c r="A95" t="s">
        <v>203</v>
      </c>
      <c r="B95" t="s">
        <v>204</v>
      </c>
      <c r="C95" t="s">
        <v>39</v>
      </c>
      <c r="D95" t="s">
        <v>43</v>
      </c>
      <c r="E95">
        <v>188</v>
      </c>
      <c r="F95">
        <v>232</v>
      </c>
      <c r="G95">
        <v>81.03</v>
      </c>
      <c r="H95">
        <v>1490579</v>
      </c>
      <c r="I95">
        <v>136217</v>
      </c>
      <c r="J95">
        <v>1178833</v>
      </c>
      <c r="K95">
        <v>1449827</v>
      </c>
      <c r="L95">
        <v>45</v>
      </c>
      <c r="M95" t="s">
        <v>18</v>
      </c>
      <c r="N95">
        <v>4.4000000000000004</v>
      </c>
    </row>
    <row r="96" spans="1:14" x14ac:dyDescent="0.35">
      <c r="A96" t="s">
        <v>205</v>
      </c>
      <c r="B96" t="s">
        <v>206</v>
      </c>
      <c r="C96" t="s">
        <v>39</v>
      </c>
      <c r="D96" t="s">
        <v>24</v>
      </c>
      <c r="E96">
        <v>143</v>
      </c>
      <c r="F96">
        <v>180</v>
      </c>
      <c r="G96">
        <v>79.44</v>
      </c>
      <c r="H96">
        <v>1201866</v>
      </c>
      <c r="I96">
        <v>142363</v>
      </c>
      <c r="J96">
        <v>1173331</v>
      </c>
      <c r="K96">
        <v>1338900</v>
      </c>
      <c r="L96">
        <v>15</v>
      </c>
      <c r="M96" t="s">
        <v>33</v>
      </c>
      <c r="N96">
        <v>3.8</v>
      </c>
    </row>
    <row r="97" spans="1:14" x14ac:dyDescent="0.35">
      <c r="A97" t="s">
        <v>207</v>
      </c>
      <c r="B97" t="s">
        <v>199</v>
      </c>
      <c r="C97" t="s">
        <v>76</v>
      </c>
      <c r="D97" t="s">
        <v>17</v>
      </c>
      <c r="E97">
        <v>69</v>
      </c>
      <c r="F97">
        <v>78</v>
      </c>
      <c r="G97">
        <v>88.46</v>
      </c>
      <c r="H97">
        <v>302451</v>
      </c>
      <c r="I97">
        <v>143162</v>
      </c>
      <c r="J97">
        <v>981928</v>
      </c>
      <c r="K97">
        <v>1362111</v>
      </c>
      <c r="L97">
        <v>64</v>
      </c>
      <c r="M97" t="s">
        <v>18</v>
      </c>
      <c r="N97">
        <v>4.7</v>
      </c>
    </row>
    <row r="98" spans="1:14" x14ac:dyDescent="0.35">
      <c r="A98" t="s">
        <v>208</v>
      </c>
      <c r="B98" t="s">
        <v>209</v>
      </c>
      <c r="C98" t="s">
        <v>39</v>
      </c>
      <c r="D98" t="s">
        <v>24</v>
      </c>
      <c r="E98">
        <v>150</v>
      </c>
      <c r="F98">
        <v>180</v>
      </c>
      <c r="G98">
        <v>83.33</v>
      </c>
      <c r="H98">
        <v>684300</v>
      </c>
      <c r="I98">
        <v>101154</v>
      </c>
      <c r="J98">
        <v>855634</v>
      </c>
      <c r="K98">
        <v>1479680</v>
      </c>
      <c r="L98">
        <v>87</v>
      </c>
      <c r="M98" t="s">
        <v>18</v>
      </c>
      <c r="N98">
        <v>3.3</v>
      </c>
    </row>
    <row r="99" spans="1:14" x14ac:dyDescent="0.35">
      <c r="A99" t="s">
        <v>210</v>
      </c>
      <c r="B99" t="s">
        <v>211</v>
      </c>
      <c r="C99" t="s">
        <v>29</v>
      </c>
      <c r="D99" t="s">
        <v>43</v>
      </c>
      <c r="E99">
        <v>182</v>
      </c>
      <c r="F99">
        <v>232</v>
      </c>
      <c r="G99">
        <v>78.45</v>
      </c>
      <c r="H99">
        <v>642229</v>
      </c>
      <c r="I99">
        <v>18964</v>
      </c>
      <c r="J99">
        <v>929629</v>
      </c>
      <c r="K99">
        <v>1281270</v>
      </c>
      <c r="L99">
        <v>33</v>
      </c>
      <c r="M99" t="s">
        <v>18</v>
      </c>
      <c r="N99">
        <v>4.5999999999999996</v>
      </c>
    </row>
    <row r="100" spans="1:14" x14ac:dyDescent="0.35">
      <c r="A100" t="s">
        <v>212</v>
      </c>
      <c r="B100" t="s">
        <v>213</v>
      </c>
      <c r="C100" t="s">
        <v>42</v>
      </c>
      <c r="D100" t="s">
        <v>43</v>
      </c>
      <c r="E100">
        <v>147</v>
      </c>
      <c r="F100">
        <v>232</v>
      </c>
      <c r="G100">
        <v>63.36</v>
      </c>
      <c r="H100">
        <v>1051817</v>
      </c>
      <c r="I100">
        <v>44758</v>
      </c>
      <c r="J100">
        <v>1002631</v>
      </c>
      <c r="K100">
        <v>1178710</v>
      </c>
      <c r="L100">
        <v>77</v>
      </c>
      <c r="M100" t="s">
        <v>18</v>
      </c>
      <c r="N100">
        <v>3.4</v>
      </c>
    </row>
    <row r="101" spans="1:14" x14ac:dyDescent="0.35">
      <c r="A101" t="s">
        <v>214</v>
      </c>
      <c r="B101" t="s">
        <v>215</v>
      </c>
      <c r="C101" t="s">
        <v>117</v>
      </c>
      <c r="D101" t="s">
        <v>17</v>
      </c>
      <c r="E101">
        <v>67</v>
      </c>
      <c r="F101">
        <v>78</v>
      </c>
      <c r="G101">
        <v>85.9</v>
      </c>
      <c r="H101">
        <v>371457</v>
      </c>
      <c r="I101">
        <v>25145</v>
      </c>
      <c r="J101">
        <v>841791</v>
      </c>
      <c r="K101">
        <v>1325832</v>
      </c>
      <c r="L101">
        <v>61</v>
      </c>
      <c r="M101" t="s">
        <v>18</v>
      </c>
      <c r="N101">
        <v>4.3</v>
      </c>
    </row>
    <row r="102" spans="1:14" x14ac:dyDescent="0.35">
      <c r="A102" t="s">
        <v>216</v>
      </c>
      <c r="B102" t="s">
        <v>215</v>
      </c>
      <c r="C102" t="s">
        <v>42</v>
      </c>
      <c r="D102" t="s">
        <v>24</v>
      </c>
      <c r="E102">
        <v>171</v>
      </c>
      <c r="F102">
        <v>180</v>
      </c>
      <c r="G102">
        <v>95</v>
      </c>
      <c r="H102">
        <v>1398169</v>
      </c>
      <c r="I102">
        <v>128812</v>
      </c>
      <c r="J102">
        <v>1086860</v>
      </c>
      <c r="K102">
        <v>1304060</v>
      </c>
      <c r="L102">
        <v>80</v>
      </c>
      <c r="M102" t="s">
        <v>18</v>
      </c>
      <c r="N102">
        <v>4.2</v>
      </c>
    </row>
    <row r="103" spans="1:14" x14ac:dyDescent="0.35">
      <c r="A103" t="s">
        <v>217</v>
      </c>
      <c r="B103" t="s">
        <v>218</v>
      </c>
      <c r="C103" t="s">
        <v>39</v>
      </c>
      <c r="D103" t="s">
        <v>17</v>
      </c>
      <c r="E103">
        <v>69</v>
      </c>
      <c r="F103">
        <v>78</v>
      </c>
      <c r="G103">
        <v>88.46</v>
      </c>
      <c r="H103">
        <v>477421</v>
      </c>
      <c r="I103">
        <v>129231</v>
      </c>
      <c r="J103">
        <v>297210</v>
      </c>
      <c r="K103">
        <v>810173</v>
      </c>
      <c r="L103">
        <v>19</v>
      </c>
      <c r="M103" t="s">
        <v>18</v>
      </c>
      <c r="N103">
        <v>4</v>
      </c>
    </row>
    <row r="104" spans="1:14" x14ac:dyDescent="0.35">
      <c r="A104" t="s">
        <v>219</v>
      </c>
      <c r="B104" t="s">
        <v>220</v>
      </c>
      <c r="C104" t="s">
        <v>117</v>
      </c>
      <c r="D104" t="s">
        <v>17</v>
      </c>
      <c r="E104">
        <v>53</v>
      </c>
      <c r="F104">
        <v>78</v>
      </c>
      <c r="G104">
        <v>67.95</v>
      </c>
      <c r="H104">
        <v>242593</v>
      </c>
      <c r="I104">
        <v>144869</v>
      </c>
      <c r="J104">
        <v>383675</v>
      </c>
      <c r="K104">
        <v>1056905</v>
      </c>
      <c r="L104">
        <v>46</v>
      </c>
      <c r="M104" t="s">
        <v>18</v>
      </c>
      <c r="N104">
        <v>3.8</v>
      </c>
    </row>
    <row r="105" spans="1:14" x14ac:dyDescent="0.35">
      <c r="A105" t="s">
        <v>221</v>
      </c>
      <c r="B105" t="s">
        <v>222</v>
      </c>
      <c r="C105" t="s">
        <v>39</v>
      </c>
      <c r="D105" t="s">
        <v>24</v>
      </c>
      <c r="E105">
        <v>137</v>
      </c>
      <c r="F105">
        <v>180</v>
      </c>
      <c r="G105">
        <v>76.11</v>
      </c>
      <c r="H105">
        <v>713390</v>
      </c>
      <c r="I105">
        <v>57032</v>
      </c>
      <c r="J105">
        <v>803281</v>
      </c>
      <c r="K105">
        <v>1374426</v>
      </c>
      <c r="L105">
        <v>84</v>
      </c>
      <c r="M105" t="s">
        <v>18</v>
      </c>
      <c r="N105">
        <v>3.9</v>
      </c>
    </row>
    <row r="106" spans="1:14" x14ac:dyDescent="0.35">
      <c r="A106" t="s">
        <v>223</v>
      </c>
      <c r="B106" t="s">
        <v>224</v>
      </c>
      <c r="C106" t="s">
        <v>39</v>
      </c>
      <c r="D106" t="s">
        <v>24</v>
      </c>
      <c r="E106">
        <v>166</v>
      </c>
      <c r="F106">
        <v>180</v>
      </c>
      <c r="G106">
        <v>92.22</v>
      </c>
      <c r="H106">
        <v>1205837</v>
      </c>
      <c r="I106">
        <v>61985</v>
      </c>
      <c r="J106">
        <v>465543</v>
      </c>
      <c r="K106">
        <v>1019184</v>
      </c>
      <c r="L106">
        <v>56</v>
      </c>
      <c r="M106" t="s">
        <v>18</v>
      </c>
      <c r="N106">
        <v>4.3</v>
      </c>
    </row>
    <row r="107" spans="1:14" x14ac:dyDescent="0.35">
      <c r="A107" t="s">
        <v>225</v>
      </c>
      <c r="B107" t="s">
        <v>226</v>
      </c>
      <c r="C107" t="s">
        <v>16</v>
      </c>
      <c r="D107" t="s">
        <v>43</v>
      </c>
      <c r="E107">
        <v>223</v>
      </c>
      <c r="F107">
        <v>232</v>
      </c>
      <c r="G107">
        <v>96.12</v>
      </c>
      <c r="H107">
        <v>1896541</v>
      </c>
      <c r="I107">
        <v>34293</v>
      </c>
      <c r="J107">
        <v>415772</v>
      </c>
      <c r="K107">
        <v>1012744</v>
      </c>
      <c r="L107">
        <v>45</v>
      </c>
      <c r="M107" t="s">
        <v>18</v>
      </c>
      <c r="N107">
        <v>4.8</v>
      </c>
    </row>
    <row r="108" spans="1:14" x14ac:dyDescent="0.35">
      <c r="A108" t="s">
        <v>227</v>
      </c>
      <c r="B108" t="s">
        <v>228</v>
      </c>
      <c r="C108" t="s">
        <v>29</v>
      </c>
      <c r="D108" t="s">
        <v>17</v>
      </c>
      <c r="E108">
        <v>62</v>
      </c>
      <c r="F108">
        <v>78</v>
      </c>
      <c r="G108">
        <v>79.489999999999995</v>
      </c>
      <c r="H108">
        <v>320837</v>
      </c>
      <c r="I108">
        <v>71688</v>
      </c>
      <c r="J108">
        <v>567487</v>
      </c>
      <c r="K108">
        <v>899977</v>
      </c>
      <c r="L108">
        <v>21</v>
      </c>
      <c r="M108" t="s">
        <v>18</v>
      </c>
      <c r="N108">
        <v>4.3</v>
      </c>
    </row>
    <row r="109" spans="1:14" x14ac:dyDescent="0.35">
      <c r="A109" t="s">
        <v>229</v>
      </c>
      <c r="B109" t="s">
        <v>121</v>
      </c>
      <c r="C109" t="s">
        <v>117</v>
      </c>
      <c r="D109" t="s">
        <v>17</v>
      </c>
      <c r="E109">
        <v>60</v>
      </c>
      <c r="F109">
        <v>78</v>
      </c>
      <c r="G109">
        <v>76.92</v>
      </c>
      <c r="H109">
        <v>472703</v>
      </c>
      <c r="I109">
        <v>72581</v>
      </c>
      <c r="J109">
        <v>527267</v>
      </c>
      <c r="K109">
        <v>831261</v>
      </c>
      <c r="L109">
        <v>73</v>
      </c>
      <c r="M109" t="s">
        <v>18</v>
      </c>
      <c r="N109">
        <v>4.5999999999999996</v>
      </c>
    </row>
    <row r="110" spans="1:14" x14ac:dyDescent="0.35">
      <c r="A110" t="s">
        <v>230</v>
      </c>
      <c r="B110" t="s">
        <v>149</v>
      </c>
      <c r="C110" t="s">
        <v>117</v>
      </c>
      <c r="D110" t="s">
        <v>43</v>
      </c>
      <c r="E110">
        <v>212</v>
      </c>
      <c r="F110">
        <v>232</v>
      </c>
      <c r="G110">
        <v>91.38</v>
      </c>
      <c r="H110">
        <v>1692216</v>
      </c>
      <c r="I110">
        <v>46564</v>
      </c>
      <c r="J110">
        <v>663311</v>
      </c>
      <c r="K110">
        <v>1049622</v>
      </c>
      <c r="L110">
        <v>78</v>
      </c>
      <c r="M110" t="s">
        <v>18</v>
      </c>
      <c r="N110">
        <v>4.9000000000000004</v>
      </c>
    </row>
    <row r="111" spans="1:14" x14ac:dyDescent="0.35">
      <c r="A111" t="s">
        <v>231</v>
      </c>
      <c r="B111" t="s">
        <v>134</v>
      </c>
      <c r="C111" t="s">
        <v>39</v>
      </c>
      <c r="D111" t="s">
        <v>43</v>
      </c>
      <c r="E111">
        <v>180</v>
      </c>
      <c r="F111">
        <v>232</v>
      </c>
      <c r="G111">
        <v>77.59</v>
      </c>
      <c r="H111">
        <v>881028</v>
      </c>
      <c r="I111">
        <v>19533</v>
      </c>
      <c r="J111">
        <v>1098565</v>
      </c>
      <c r="K111">
        <v>1678983</v>
      </c>
      <c r="L111">
        <v>47</v>
      </c>
      <c r="M111" t="s">
        <v>18</v>
      </c>
      <c r="N111">
        <v>4.5</v>
      </c>
    </row>
    <row r="112" spans="1:14" x14ac:dyDescent="0.35">
      <c r="A112" t="s">
        <v>232</v>
      </c>
      <c r="B112" t="s">
        <v>233</v>
      </c>
      <c r="C112" t="s">
        <v>39</v>
      </c>
      <c r="D112" t="s">
        <v>17</v>
      </c>
      <c r="E112">
        <v>65</v>
      </c>
      <c r="F112">
        <v>78</v>
      </c>
      <c r="G112">
        <v>83.33</v>
      </c>
      <c r="H112">
        <v>583285</v>
      </c>
      <c r="I112">
        <v>121567</v>
      </c>
      <c r="J112">
        <v>398323</v>
      </c>
      <c r="K112">
        <v>616394</v>
      </c>
      <c r="L112">
        <v>16</v>
      </c>
      <c r="M112" t="s">
        <v>18</v>
      </c>
      <c r="N112">
        <v>3.4</v>
      </c>
    </row>
    <row r="113" spans="1:14" x14ac:dyDescent="0.35">
      <c r="A113" t="s">
        <v>234</v>
      </c>
      <c r="B113" t="s">
        <v>235</v>
      </c>
      <c r="C113" t="s">
        <v>21</v>
      </c>
      <c r="D113" t="s">
        <v>24</v>
      </c>
      <c r="E113">
        <v>158</v>
      </c>
      <c r="F113">
        <v>180</v>
      </c>
      <c r="G113">
        <v>87.78</v>
      </c>
      <c r="H113">
        <v>1333241</v>
      </c>
      <c r="I113">
        <v>135240</v>
      </c>
      <c r="J113">
        <v>984045</v>
      </c>
      <c r="K113">
        <v>1407378</v>
      </c>
      <c r="L113">
        <v>46</v>
      </c>
      <c r="M113" t="s">
        <v>18</v>
      </c>
      <c r="N113">
        <v>3.4</v>
      </c>
    </row>
    <row r="114" spans="1:14" x14ac:dyDescent="0.35">
      <c r="A114" t="s">
        <v>236</v>
      </c>
      <c r="B114" t="s">
        <v>237</v>
      </c>
      <c r="C114" t="s">
        <v>32</v>
      </c>
      <c r="D114" t="s">
        <v>24</v>
      </c>
      <c r="E114">
        <v>113</v>
      </c>
      <c r="F114">
        <v>180</v>
      </c>
      <c r="G114">
        <v>62.78</v>
      </c>
      <c r="H114">
        <v>661939</v>
      </c>
      <c r="I114">
        <v>28516</v>
      </c>
      <c r="J114">
        <v>866752</v>
      </c>
      <c r="K114">
        <v>1003604</v>
      </c>
      <c r="L114">
        <v>77</v>
      </c>
      <c r="M114" t="s">
        <v>18</v>
      </c>
      <c r="N114">
        <v>4.5</v>
      </c>
    </row>
    <row r="115" spans="1:14" x14ac:dyDescent="0.35">
      <c r="A115" t="s">
        <v>238</v>
      </c>
      <c r="B115" t="s">
        <v>239</v>
      </c>
      <c r="C115" t="s">
        <v>16</v>
      </c>
      <c r="D115" t="s">
        <v>43</v>
      </c>
      <c r="E115">
        <v>206</v>
      </c>
      <c r="F115">
        <v>232</v>
      </c>
      <c r="G115">
        <v>88.79</v>
      </c>
      <c r="H115">
        <v>1463379</v>
      </c>
      <c r="I115">
        <v>124318</v>
      </c>
      <c r="J115">
        <v>817159</v>
      </c>
      <c r="K115">
        <v>1496991</v>
      </c>
      <c r="L115">
        <v>78</v>
      </c>
      <c r="M115" t="s">
        <v>18</v>
      </c>
      <c r="N115">
        <v>4.5</v>
      </c>
    </row>
    <row r="116" spans="1:14" x14ac:dyDescent="0.35">
      <c r="A116" t="s">
        <v>240</v>
      </c>
      <c r="B116" t="s">
        <v>241</v>
      </c>
      <c r="C116" t="s">
        <v>16</v>
      </c>
      <c r="D116" t="s">
        <v>43</v>
      </c>
      <c r="E116">
        <v>222</v>
      </c>
      <c r="F116">
        <v>232</v>
      </c>
      <c r="G116">
        <v>95.69</v>
      </c>
      <c r="H116">
        <v>909427</v>
      </c>
      <c r="I116">
        <v>61842</v>
      </c>
      <c r="J116">
        <v>450698</v>
      </c>
      <c r="K116">
        <v>847870</v>
      </c>
      <c r="L116">
        <v>50</v>
      </c>
      <c r="M116" t="s">
        <v>18</v>
      </c>
      <c r="N116">
        <v>4.5999999999999996</v>
      </c>
    </row>
    <row r="117" spans="1:14" x14ac:dyDescent="0.35">
      <c r="A117" t="s">
        <v>242</v>
      </c>
      <c r="B117" t="s">
        <v>243</v>
      </c>
      <c r="C117" t="s">
        <v>42</v>
      </c>
      <c r="D117" t="s">
        <v>43</v>
      </c>
      <c r="E117">
        <v>222</v>
      </c>
      <c r="F117">
        <v>232</v>
      </c>
      <c r="G117">
        <v>95.69</v>
      </c>
      <c r="H117">
        <v>1966553</v>
      </c>
      <c r="I117">
        <v>41060</v>
      </c>
      <c r="J117">
        <v>1151681</v>
      </c>
      <c r="K117">
        <v>1492143</v>
      </c>
      <c r="L117">
        <v>36</v>
      </c>
      <c r="M117" t="s">
        <v>18</v>
      </c>
      <c r="N117">
        <v>3.5</v>
      </c>
    </row>
    <row r="118" spans="1:14" x14ac:dyDescent="0.35">
      <c r="A118" t="s">
        <v>244</v>
      </c>
      <c r="B118" t="s">
        <v>63</v>
      </c>
      <c r="C118" t="s">
        <v>59</v>
      </c>
      <c r="D118" t="s">
        <v>43</v>
      </c>
      <c r="E118">
        <v>220</v>
      </c>
      <c r="F118">
        <v>232</v>
      </c>
      <c r="G118">
        <v>94.83</v>
      </c>
      <c r="H118">
        <v>1967839</v>
      </c>
      <c r="I118">
        <v>51733</v>
      </c>
      <c r="J118">
        <v>638071</v>
      </c>
      <c r="K118">
        <v>1116703</v>
      </c>
      <c r="L118">
        <v>25</v>
      </c>
      <c r="M118" t="s">
        <v>18</v>
      </c>
      <c r="N118">
        <v>4.5999999999999996</v>
      </c>
    </row>
    <row r="119" spans="1:14" x14ac:dyDescent="0.35">
      <c r="A119" t="s">
        <v>245</v>
      </c>
      <c r="B119" t="s">
        <v>246</v>
      </c>
      <c r="C119" t="s">
        <v>29</v>
      </c>
      <c r="D119" t="s">
        <v>17</v>
      </c>
      <c r="E119">
        <v>49</v>
      </c>
      <c r="F119">
        <v>78</v>
      </c>
      <c r="G119">
        <v>62.82</v>
      </c>
      <c r="H119">
        <v>372702</v>
      </c>
      <c r="I119">
        <v>24344</v>
      </c>
      <c r="J119">
        <v>1134111</v>
      </c>
      <c r="K119">
        <v>1478607</v>
      </c>
      <c r="L119">
        <v>19</v>
      </c>
      <c r="M119" t="s">
        <v>18</v>
      </c>
      <c r="N119">
        <v>3.7</v>
      </c>
    </row>
    <row r="120" spans="1:14" x14ac:dyDescent="0.35">
      <c r="A120" t="s">
        <v>247</v>
      </c>
      <c r="B120" t="s">
        <v>239</v>
      </c>
      <c r="C120" t="s">
        <v>39</v>
      </c>
      <c r="D120" t="s">
        <v>24</v>
      </c>
      <c r="E120">
        <v>112</v>
      </c>
      <c r="F120">
        <v>180</v>
      </c>
      <c r="G120">
        <v>62.22</v>
      </c>
      <c r="H120">
        <v>433622</v>
      </c>
      <c r="I120">
        <v>76839</v>
      </c>
      <c r="J120">
        <v>628342</v>
      </c>
      <c r="K120">
        <v>1034622</v>
      </c>
      <c r="L120">
        <v>31</v>
      </c>
      <c r="M120" t="s">
        <v>18</v>
      </c>
      <c r="N120">
        <v>4.7</v>
      </c>
    </row>
    <row r="121" spans="1:14" x14ac:dyDescent="0.35">
      <c r="A121" t="s">
        <v>248</v>
      </c>
      <c r="B121" t="s">
        <v>102</v>
      </c>
      <c r="C121" t="s">
        <v>42</v>
      </c>
      <c r="D121" t="s">
        <v>24</v>
      </c>
      <c r="E121">
        <v>113</v>
      </c>
      <c r="F121">
        <v>180</v>
      </c>
      <c r="G121">
        <v>62.78</v>
      </c>
      <c r="H121">
        <v>920713</v>
      </c>
      <c r="I121">
        <v>114207</v>
      </c>
      <c r="J121">
        <v>1119554</v>
      </c>
      <c r="K121">
        <v>1519966</v>
      </c>
      <c r="L121">
        <v>15</v>
      </c>
      <c r="M121" t="s">
        <v>33</v>
      </c>
      <c r="N121">
        <v>3.8</v>
      </c>
    </row>
    <row r="122" spans="1:14" x14ac:dyDescent="0.35">
      <c r="A122" t="s">
        <v>249</v>
      </c>
      <c r="B122" t="s">
        <v>250</v>
      </c>
      <c r="C122" t="s">
        <v>29</v>
      </c>
      <c r="D122" t="s">
        <v>43</v>
      </c>
      <c r="E122">
        <v>197</v>
      </c>
      <c r="F122">
        <v>232</v>
      </c>
      <c r="G122">
        <v>84.91</v>
      </c>
      <c r="H122">
        <v>797902</v>
      </c>
      <c r="I122">
        <v>100687</v>
      </c>
      <c r="J122">
        <v>733369</v>
      </c>
      <c r="K122">
        <v>834443</v>
      </c>
      <c r="L122">
        <v>0</v>
      </c>
      <c r="M122" t="s">
        <v>33</v>
      </c>
      <c r="N122">
        <v>3.4</v>
      </c>
    </row>
    <row r="123" spans="1:14" x14ac:dyDescent="0.35">
      <c r="A123" t="s">
        <v>251</v>
      </c>
      <c r="B123" t="s">
        <v>252</v>
      </c>
      <c r="C123" t="s">
        <v>36</v>
      </c>
      <c r="D123" t="s">
        <v>17</v>
      </c>
      <c r="E123">
        <v>57</v>
      </c>
      <c r="F123">
        <v>78</v>
      </c>
      <c r="G123">
        <v>73.08</v>
      </c>
      <c r="H123">
        <v>465398</v>
      </c>
      <c r="I123">
        <v>50628</v>
      </c>
      <c r="J123">
        <v>961922</v>
      </c>
      <c r="K123">
        <v>1100161</v>
      </c>
      <c r="L123">
        <v>52</v>
      </c>
      <c r="M123" t="s">
        <v>18</v>
      </c>
      <c r="N123">
        <v>3.3</v>
      </c>
    </row>
    <row r="124" spans="1:14" x14ac:dyDescent="0.35">
      <c r="A124" t="s">
        <v>253</v>
      </c>
      <c r="B124" t="s">
        <v>254</v>
      </c>
      <c r="C124" t="s">
        <v>39</v>
      </c>
      <c r="D124" t="s">
        <v>17</v>
      </c>
      <c r="E124">
        <v>66</v>
      </c>
      <c r="F124">
        <v>78</v>
      </c>
      <c r="G124">
        <v>84.62</v>
      </c>
      <c r="H124">
        <v>340947</v>
      </c>
      <c r="I124">
        <v>35944</v>
      </c>
      <c r="J124">
        <v>1106069</v>
      </c>
      <c r="K124">
        <v>1556245</v>
      </c>
      <c r="L124">
        <v>66</v>
      </c>
      <c r="M124" t="s">
        <v>18</v>
      </c>
      <c r="N124">
        <v>3.3</v>
      </c>
    </row>
    <row r="125" spans="1:14" x14ac:dyDescent="0.35">
      <c r="A125" t="s">
        <v>255</v>
      </c>
      <c r="B125" t="s">
        <v>125</v>
      </c>
      <c r="C125" t="s">
        <v>32</v>
      </c>
      <c r="D125" t="s">
        <v>43</v>
      </c>
      <c r="E125">
        <v>181</v>
      </c>
      <c r="F125">
        <v>232</v>
      </c>
      <c r="G125">
        <v>78.02</v>
      </c>
      <c r="H125">
        <v>981664</v>
      </c>
      <c r="I125">
        <v>111235</v>
      </c>
      <c r="J125">
        <v>1076127</v>
      </c>
      <c r="K125">
        <v>1517982</v>
      </c>
      <c r="L125">
        <v>2</v>
      </c>
      <c r="M125" t="s">
        <v>33</v>
      </c>
      <c r="N125">
        <v>4.8</v>
      </c>
    </row>
    <row r="126" spans="1:14" x14ac:dyDescent="0.35">
      <c r="A126" t="s">
        <v>256</v>
      </c>
      <c r="B126" t="s">
        <v>257</v>
      </c>
      <c r="C126" t="s">
        <v>29</v>
      </c>
      <c r="D126" t="s">
        <v>43</v>
      </c>
      <c r="E126">
        <v>175</v>
      </c>
      <c r="F126">
        <v>232</v>
      </c>
      <c r="G126">
        <v>75.430000000000007</v>
      </c>
      <c r="H126">
        <v>1137071</v>
      </c>
      <c r="I126">
        <v>114000</v>
      </c>
      <c r="J126">
        <v>518205</v>
      </c>
      <c r="K126">
        <v>1030586</v>
      </c>
      <c r="L126">
        <v>6</v>
      </c>
      <c r="M126" t="s">
        <v>33</v>
      </c>
      <c r="N126">
        <v>4.7</v>
      </c>
    </row>
    <row r="127" spans="1:14" x14ac:dyDescent="0.35">
      <c r="A127" t="s">
        <v>258</v>
      </c>
      <c r="B127" t="s">
        <v>259</v>
      </c>
      <c r="C127" t="s">
        <v>32</v>
      </c>
      <c r="D127" t="s">
        <v>43</v>
      </c>
      <c r="E127">
        <v>162</v>
      </c>
      <c r="F127">
        <v>232</v>
      </c>
      <c r="G127">
        <v>69.83</v>
      </c>
      <c r="H127">
        <v>1243246</v>
      </c>
      <c r="I127">
        <v>115022</v>
      </c>
      <c r="J127">
        <v>990730</v>
      </c>
      <c r="K127">
        <v>1650225</v>
      </c>
      <c r="L127">
        <v>11</v>
      </c>
      <c r="M127" t="s">
        <v>33</v>
      </c>
      <c r="N127">
        <v>4.2</v>
      </c>
    </row>
    <row r="128" spans="1:14" x14ac:dyDescent="0.35">
      <c r="A128" t="s">
        <v>260</v>
      </c>
      <c r="B128" t="s">
        <v>261</v>
      </c>
      <c r="C128" t="s">
        <v>76</v>
      </c>
      <c r="D128" t="s">
        <v>43</v>
      </c>
      <c r="E128">
        <v>206</v>
      </c>
      <c r="F128">
        <v>232</v>
      </c>
      <c r="G128">
        <v>88.79</v>
      </c>
      <c r="H128">
        <v>1174054</v>
      </c>
      <c r="I128">
        <v>32208</v>
      </c>
      <c r="J128">
        <v>729382</v>
      </c>
      <c r="K128">
        <v>1310634</v>
      </c>
      <c r="L128">
        <v>55</v>
      </c>
      <c r="M128" t="s">
        <v>18</v>
      </c>
      <c r="N128">
        <v>4.3</v>
      </c>
    </row>
    <row r="129" spans="1:14" x14ac:dyDescent="0.35">
      <c r="A129" t="s">
        <v>262</v>
      </c>
      <c r="B129" t="s">
        <v>246</v>
      </c>
      <c r="C129" t="s">
        <v>32</v>
      </c>
      <c r="D129" t="s">
        <v>17</v>
      </c>
      <c r="E129">
        <v>76</v>
      </c>
      <c r="F129">
        <v>78</v>
      </c>
      <c r="G129">
        <v>97.44</v>
      </c>
      <c r="H129">
        <v>408675</v>
      </c>
      <c r="I129">
        <v>63645</v>
      </c>
      <c r="J129">
        <v>859916</v>
      </c>
      <c r="K129">
        <v>1520191</v>
      </c>
      <c r="L129">
        <v>79</v>
      </c>
      <c r="M129" t="s">
        <v>18</v>
      </c>
      <c r="N129">
        <v>4.4000000000000004</v>
      </c>
    </row>
    <row r="130" spans="1:14" x14ac:dyDescent="0.35">
      <c r="A130" t="s">
        <v>263</v>
      </c>
      <c r="B130" t="s">
        <v>82</v>
      </c>
      <c r="C130" t="s">
        <v>76</v>
      </c>
      <c r="D130" t="s">
        <v>17</v>
      </c>
      <c r="E130">
        <v>69</v>
      </c>
      <c r="F130">
        <v>78</v>
      </c>
      <c r="G130">
        <v>88.46</v>
      </c>
      <c r="H130">
        <v>533211</v>
      </c>
      <c r="I130">
        <v>148324</v>
      </c>
      <c r="J130">
        <v>501230</v>
      </c>
      <c r="K130">
        <v>1200206</v>
      </c>
      <c r="L130">
        <v>43</v>
      </c>
      <c r="M130" t="s">
        <v>18</v>
      </c>
      <c r="N130">
        <v>4.5</v>
      </c>
    </row>
    <row r="131" spans="1:14" x14ac:dyDescent="0.35">
      <c r="A131" t="s">
        <v>264</v>
      </c>
      <c r="B131" t="s">
        <v>112</v>
      </c>
      <c r="C131" t="s">
        <v>36</v>
      </c>
      <c r="D131" t="s">
        <v>43</v>
      </c>
      <c r="E131">
        <v>148</v>
      </c>
      <c r="F131">
        <v>232</v>
      </c>
      <c r="G131">
        <v>63.79</v>
      </c>
      <c r="H131">
        <v>1295843</v>
      </c>
      <c r="I131">
        <v>142979</v>
      </c>
      <c r="J131">
        <v>807134</v>
      </c>
      <c r="K131">
        <v>913132</v>
      </c>
      <c r="L131">
        <v>80</v>
      </c>
      <c r="M131" t="s">
        <v>18</v>
      </c>
      <c r="N131">
        <v>4.3</v>
      </c>
    </row>
    <row r="132" spans="1:14" x14ac:dyDescent="0.35">
      <c r="A132" t="s">
        <v>265</v>
      </c>
      <c r="B132" t="s">
        <v>266</v>
      </c>
      <c r="C132" t="s">
        <v>42</v>
      </c>
      <c r="D132" t="s">
        <v>17</v>
      </c>
      <c r="E132">
        <v>56</v>
      </c>
      <c r="F132">
        <v>78</v>
      </c>
      <c r="G132">
        <v>71.790000000000006</v>
      </c>
      <c r="H132">
        <v>482685</v>
      </c>
      <c r="I132">
        <v>144723</v>
      </c>
      <c r="J132">
        <v>728353</v>
      </c>
      <c r="K132">
        <v>920177</v>
      </c>
      <c r="L132">
        <v>51</v>
      </c>
      <c r="M132" t="s">
        <v>18</v>
      </c>
      <c r="N132">
        <v>4.0999999999999996</v>
      </c>
    </row>
    <row r="133" spans="1:14" x14ac:dyDescent="0.35">
      <c r="A133" t="s">
        <v>267</v>
      </c>
      <c r="B133" t="s">
        <v>268</v>
      </c>
      <c r="C133" t="s">
        <v>117</v>
      </c>
      <c r="D133" t="s">
        <v>17</v>
      </c>
      <c r="E133">
        <v>53</v>
      </c>
      <c r="F133">
        <v>78</v>
      </c>
      <c r="G133">
        <v>67.95</v>
      </c>
      <c r="H133">
        <v>451813</v>
      </c>
      <c r="I133">
        <v>33681</v>
      </c>
      <c r="J133">
        <v>589213</v>
      </c>
      <c r="K133">
        <v>929457</v>
      </c>
      <c r="L133">
        <v>3</v>
      </c>
      <c r="M133" t="s">
        <v>33</v>
      </c>
      <c r="N133">
        <v>3.8</v>
      </c>
    </row>
    <row r="134" spans="1:14" x14ac:dyDescent="0.35">
      <c r="A134" t="s">
        <v>269</v>
      </c>
      <c r="B134" t="s">
        <v>270</v>
      </c>
      <c r="C134" t="s">
        <v>21</v>
      </c>
      <c r="D134" t="s">
        <v>17</v>
      </c>
      <c r="E134">
        <v>57</v>
      </c>
      <c r="F134">
        <v>78</v>
      </c>
      <c r="G134">
        <v>73.08</v>
      </c>
      <c r="H134">
        <v>377432</v>
      </c>
      <c r="I134">
        <v>17692</v>
      </c>
      <c r="J134">
        <v>1044485</v>
      </c>
      <c r="K134">
        <v>1251579</v>
      </c>
      <c r="L134">
        <v>56</v>
      </c>
      <c r="M134" t="s">
        <v>18</v>
      </c>
      <c r="N134">
        <v>4.4000000000000004</v>
      </c>
    </row>
    <row r="135" spans="1:14" x14ac:dyDescent="0.35">
      <c r="A135" t="s">
        <v>271</v>
      </c>
      <c r="B135" t="s">
        <v>272</v>
      </c>
      <c r="C135" t="s">
        <v>59</v>
      </c>
      <c r="D135" t="s">
        <v>17</v>
      </c>
      <c r="E135">
        <v>54</v>
      </c>
      <c r="F135">
        <v>78</v>
      </c>
      <c r="G135">
        <v>69.23</v>
      </c>
      <c r="H135">
        <v>411058</v>
      </c>
      <c r="I135">
        <v>15751</v>
      </c>
      <c r="J135">
        <v>408009</v>
      </c>
      <c r="K135">
        <v>788797</v>
      </c>
      <c r="L135">
        <v>19</v>
      </c>
      <c r="M135" t="s">
        <v>18</v>
      </c>
      <c r="N135">
        <v>4</v>
      </c>
    </row>
    <row r="136" spans="1:14" x14ac:dyDescent="0.35">
      <c r="A136" t="s">
        <v>273</v>
      </c>
      <c r="B136" t="s">
        <v>274</v>
      </c>
      <c r="C136" t="s">
        <v>42</v>
      </c>
      <c r="D136" t="s">
        <v>24</v>
      </c>
      <c r="E136">
        <v>127</v>
      </c>
      <c r="F136">
        <v>180</v>
      </c>
      <c r="G136">
        <v>70.56</v>
      </c>
      <c r="H136">
        <v>880000</v>
      </c>
      <c r="I136">
        <v>82943</v>
      </c>
      <c r="J136">
        <v>862387</v>
      </c>
      <c r="K136">
        <v>1529972</v>
      </c>
      <c r="L136">
        <v>36</v>
      </c>
      <c r="M136" t="s">
        <v>18</v>
      </c>
      <c r="N136">
        <v>3.5</v>
      </c>
    </row>
    <row r="137" spans="1:14" x14ac:dyDescent="0.35">
      <c r="A137" t="s">
        <v>275</v>
      </c>
      <c r="B137" t="s">
        <v>276</v>
      </c>
      <c r="C137" t="s">
        <v>76</v>
      </c>
      <c r="D137" t="s">
        <v>17</v>
      </c>
      <c r="E137">
        <v>50</v>
      </c>
      <c r="F137">
        <v>78</v>
      </c>
      <c r="G137">
        <v>64.099999999999994</v>
      </c>
      <c r="H137">
        <v>217724</v>
      </c>
      <c r="I137">
        <v>22280</v>
      </c>
      <c r="J137">
        <v>846026</v>
      </c>
      <c r="K137">
        <v>1470388</v>
      </c>
      <c r="L137">
        <v>62</v>
      </c>
      <c r="M137" t="s">
        <v>18</v>
      </c>
      <c r="N137">
        <v>4.7</v>
      </c>
    </row>
    <row r="138" spans="1:14" x14ac:dyDescent="0.35">
      <c r="A138" t="s">
        <v>277</v>
      </c>
      <c r="B138" t="s">
        <v>278</v>
      </c>
      <c r="C138" t="s">
        <v>59</v>
      </c>
      <c r="D138" t="s">
        <v>24</v>
      </c>
      <c r="E138">
        <v>142</v>
      </c>
      <c r="F138">
        <v>180</v>
      </c>
      <c r="G138">
        <v>78.89</v>
      </c>
      <c r="H138">
        <v>936188</v>
      </c>
      <c r="I138">
        <v>79556</v>
      </c>
      <c r="J138">
        <v>702324</v>
      </c>
      <c r="K138">
        <v>1110133</v>
      </c>
      <c r="L138">
        <v>64</v>
      </c>
      <c r="M138" t="s">
        <v>18</v>
      </c>
      <c r="N138">
        <v>3.9</v>
      </c>
    </row>
    <row r="139" spans="1:14" x14ac:dyDescent="0.35">
      <c r="A139" t="s">
        <v>279</v>
      </c>
      <c r="B139" t="s">
        <v>280</v>
      </c>
      <c r="C139" t="s">
        <v>59</v>
      </c>
      <c r="D139" t="s">
        <v>24</v>
      </c>
      <c r="E139">
        <v>141</v>
      </c>
      <c r="F139">
        <v>180</v>
      </c>
      <c r="G139">
        <v>78.33</v>
      </c>
      <c r="H139">
        <v>536586</v>
      </c>
      <c r="I139">
        <v>41643</v>
      </c>
      <c r="J139">
        <v>364031</v>
      </c>
      <c r="K139">
        <v>487583</v>
      </c>
      <c r="L139">
        <v>10</v>
      </c>
      <c r="M139" t="s">
        <v>33</v>
      </c>
      <c r="N139">
        <v>4.5</v>
      </c>
    </row>
    <row r="140" spans="1:14" x14ac:dyDescent="0.35">
      <c r="A140" t="s">
        <v>281</v>
      </c>
      <c r="B140" t="s">
        <v>104</v>
      </c>
      <c r="C140" t="s">
        <v>32</v>
      </c>
      <c r="D140" t="s">
        <v>24</v>
      </c>
      <c r="E140">
        <v>150</v>
      </c>
      <c r="F140">
        <v>180</v>
      </c>
      <c r="G140">
        <v>83.33</v>
      </c>
      <c r="H140">
        <v>1104251</v>
      </c>
      <c r="I140">
        <v>30833</v>
      </c>
      <c r="J140">
        <v>282884</v>
      </c>
      <c r="K140">
        <v>924294</v>
      </c>
      <c r="L140">
        <v>63</v>
      </c>
      <c r="M140" t="s">
        <v>18</v>
      </c>
      <c r="N140">
        <v>4.8</v>
      </c>
    </row>
    <row r="141" spans="1:14" x14ac:dyDescent="0.35">
      <c r="A141" t="s">
        <v>282</v>
      </c>
      <c r="B141" t="s">
        <v>283</v>
      </c>
      <c r="C141" t="s">
        <v>32</v>
      </c>
      <c r="D141" t="s">
        <v>43</v>
      </c>
      <c r="E141">
        <v>179</v>
      </c>
      <c r="F141">
        <v>232</v>
      </c>
      <c r="G141">
        <v>77.16</v>
      </c>
      <c r="H141">
        <v>1348959</v>
      </c>
      <c r="I141">
        <v>146985</v>
      </c>
      <c r="J141">
        <v>1133836</v>
      </c>
      <c r="K141">
        <v>1684274</v>
      </c>
      <c r="L141">
        <v>48</v>
      </c>
      <c r="M141" t="s">
        <v>18</v>
      </c>
      <c r="N141">
        <v>4.5</v>
      </c>
    </row>
    <row r="142" spans="1:14" x14ac:dyDescent="0.35">
      <c r="A142" t="s">
        <v>284</v>
      </c>
      <c r="B142" t="s">
        <v>104</v>
      </c>
      <c r="C142" t="s">
        <v>59</v>
      </c>
      <c r="D142" t="s">
        <v>24</v>
      </c>
      <c r="E142">
        <v>154</v>
      </c>
      <c r="F142">
        <v>180</v>
      </c>
      <c r="G142">
        <v>85.56</v>
      </c>
      <c r="H142">
        <v>670397</v>
      </c>
      <c r="I142">
        <v>46679</v>
      </c>
      <c r="J142">
        <v>340631</v>
      </c>
      <c r="K142">
        <v>981500</v>
      </c>
      <c r="L142">
        <v>0</v>
      </c>
      <c r="M142" t="s">
        <v>33</v>
      </c>
      <c r="N142">
        <v>4.4000000000000004</v>
      </c>
    </row>
    <row r="143" spans="1:14" x14ac:dyDescent="0.35">
      <c r="A143" t="s">
        <v>285</v>
      </c>
      <c r="B143" t="s">
        <v>286</v>
      </c>
      <c r="C143" t="s">
        <v>42</v>
      </c>
      <c r="D143" t="s">
        <v>24</v>
      </c>
      <c r="E143">
        <v>163</v>
      </c>
      <c r="F143">
        <v>180</v>
      </c>
      <c r="G143">
        <v>90.56</v>
      </c>
      <c r="H143">
        <v>983809</v>
      </c>
      <c r="I143">
        <v>119021</v>
      </c>
      <c r="J143">
        <v>1085202</v>
      </c>
      <c r="K143">
        <v>1301568</v>
      </c>
      <c r="L143">
        <v>57</v>
      </c>
      <c r="M143" t="s">
        <v>18</v>
      </c>
      <c r="N143">
        <v>4.3</v>
      </c>
    </row>
    <row r="144" spans="1:14" x14ac:dyDescent="0.35">
      <c r="A144" t="s">
        <v>287</v>
      </c>
      <c r="B144" t="s">
        <v>149</v>
      </c>
      <c r="C144" t="s">
        <v>76</v>
      </c>
      <c r="D144" t="s">
        <v>43</v>
      </c>
      <c r="E144">
        <v>175</v>
      </c>
      <c r="F144">
        <v>232</v>
      </c>
      <c r="G144">
        <v>75.430000000000007</v>
      </c>
      <c r="H144">
        <v>1492622</v>
      </c>
      <c r="I144">
        <v>125343</v>
      </c>
      <c r="J144">
        <v>712223</v>
      </c>
      <c r="K144">
        <v>1008287</v>
      </c>
      <c r="L144">
        <v>27</v>
      </c>
      <c r="M144" t="s">
        <v>18</v>
      </c>
      <c r="N144">
        <v>3.9</v>
      </c>
    </row>
    <row r="145" spans="1:14" x14ac:dyDescent="0.35">
      <c r="A145" t="s">
        <v>288</v>
      </c>
      <c r="B145" t="s">
        <v>189</v>
      </c>
      <c r="C145" t="s">
        <v>21</v>
      </c>
      <c r="D145" t="s">
        <v>24</v>
      </c>
      <c r="E145">
        <v>176</v>
      </c>
      <c r="F145">
        <v>180</v>
      </c>
      <c r="G145">
        <v>97.78</v>
      </c>
      <c r="H145">
        <v>807822</v>
      </c>
      <c r="I145">
        <v>130509</v>
      </c>
      <c r="J145">
        <v>364755</v>
      </c>
      <c r="K145">
        <v>606356</v>
      </c>
      <c r="L145">
        <v>13</v>
      </c>
      <c r="M145" t="s">
        <v>33</v>
      </c>
      <c r="N145">
        <v>4.5</v>
      </c>
    </row>
    <row r="146" spans="1:14" x14ac:dyDescent="0.35">
      <c r="A146" t="s">
        <v>289</v>
      </c>
      <c r="B146" t="s">
        <v>290</v>
      </c>
      <c r="C146" t="s">
        <v>36</v>
      </c>
      <c r="D146" t="s">
        <v>17</v>
      </c>
      <c r="E146">
        <v>72</v>
      </c>
      <c r="F146">
        <v>78</v>
      </c>
      <c r="G146">
        <v>92.31</v>
      </c>
      <c r="H146">
        <v>418031</v>
      </c>
      <c r="I146">
        <v>47839</v>
      </c>
      <c r="J146">
        <v>498234</v>
      </c>
      <c r="K146">
        <v>1095584</v>
      </c>
      <c r="L146">
        <v>30</v>
      </c>
      <c r="M146" t="s">
        <v>18</v>
      </c>
      <c r="N146">
        <v>3.9</v>
      </c>
    </row>
    <row r="147" spans="1:14" x14ac:dyDescent="0.35">
      <c r="A147" t="s">
        <v>291</v>
      </c>
      <c r="B147" t="s">
        <v>184</v>
      </c>
      <c r="C147" t="s">
        <v>76</v>
      </c>
      <c r="D147" t="s">
        <v>24</v>
      </c>
      <c r="E147">
        <v>116</v>
      </c>
      <c r="F147">
        <v>180</v>
      </c>
      <c r="G147">
        <v>64.44</v>
      </c>
      <c r="H147">
        <v>537477</v>
      </c>
      <c r="I147">
        <v>47101</v>
      </c>
      <c r="J147">
        <v>1042396</v>
      </c>
      <c r="K147">
        <v>1483339</v>
      </c>
      <c r="L147">
        <v>25</v>
      </c>
      <c r="M147" t="s">
        <v>18</v>
      </c>
      <c r="N147">
        <v>4.7</v>
      </c>
    </row>
    <row r="148" spans="1:14" x14ac:dyDescent="0.35">
      <c r="A148" t="s">
        <v>292</v>
      </c>
      <c r="B148" t="s">
        <v>293</v>
      </c>
      <c r="C148" t="s">
        <v>32</v>
      </c>
      <c r="D148" t="s">
        <v>24</v>
      </c>
      <c r="E148">
        <v>150</v>
      </c>
      <c r="F148">
        <v>180</v>
      </c>
      <c r="G148">
        <v>83.33</v>
      </c>
      <c r="H148">
        <v>1002936</v>
      </c>
      <c r="I148">
        <v>27661</v>
      </c>
      <c r="J148">
        <v>708132</v>
      </c>
      <c r="K148">
        <v>1218281</v>
      </c>
      <c r="L148">
        <v>17</v>
      </c>
      <c r="M148" t="s">
        <v>18</v>
      </c>
      <c r="N148">
        <v>3.7</v>
      </c>
    </row>
    <row r="149" spans="1:14" x14ac:dyDescent="0.35">
      <c r="A149" t="s">
        <v>294</v>
      </c>
      <c r="B149" t="s">
        <v>295</v>
      </c>
      <c r="C149" t="s">
        <v>16</v>
      </c>
      <c r="D149" t="s">
        <v>43</v>
      </c>
      <c r="E149">
        <v>195</v>
      </c>
      <c r="F149">
        <v>232</v>
      </c>
      <c r="G149">
        <v>84.05</v>
      </c>
      <c r="H149">
        <v>1461706</v>
      </c>
      <c r="I149">
        <v>105781</v>
      </c>
      <c r="J149">
        <v>425764</v>
      </c>
      <c r="K149">
        <v>983745</v>
      </c>
      <c r="L149">
        <v>5</v>
      </c>
      <c r="M149" t="s">
        <v>33</v>
      </c>
      <c r="N149">
        <v>4.5</v>
      </c>
    </row>
    <row r="150" spans="1:14" x14ac:dyDescent="0.35">
      <c r="A150" t="s">
        <v>296</v>
      </c>
      <c r="B150" t="s">
        <v>180</v>
      </c>
      <c r="C150" t="s">
        <v>59</v>
      </c>
      <c r="D150" t="s">
        <v>24</v>
      </c>
      <c r="E150">
        <v>110</v>
      </c>
      <c r="F150">
        <v>180</v>
      </c>
      <c r="G150">
        <v>61.11</v>
      </c>
      <c r="H150">
        <v>529831</v>
      </c>
      <c r="I150">
        <v>92155</v>
      </c>
      <c r="J150">
        <v>1165269</v>
      </c>
      <c r="K150">
        <v>1279879</v>
      </c>
      <c r="L150">
        <v>21</v>
      </c>
      <c r="M150" t="s">
        <v>18</v>
      </c>
      <c r="N150">
        <v>3.9</v>
      </c>
    </row>
    <row r="151" spans="1:14" x14ac:dyDescent="0.35">
      <c r="A151" t="s">
        <v>297</v>
      </c>
      <c r="B151" t="s">
        <v>298</v>
      </c>
      <c r="C151" t="s">
        <v>117</v>
      </c>
      <c r="D151" t="s">
        <v>24</v>
      </c>
      <c r="E151">
        <v>124</v>
      </c>
      <c r="F151">
        <v>180</v>
      </c>
      <c r="G151">
        <v>68.89</v>
      </c>
      <c r="H151">
        <v>759329</v>
      </c>
      <c r="I151">
        <v>143595</v>
      </c>
      <c r="J151">
        <v>488134</v>
      </c>
      <c r="K151">
        <v>937988</v>
      </c>
      <c r="L151">
        <v>68</v>
      </c>
      <c r="M151" t="s">
        <v>18</v>
      </c>
      <c r="N151">
        <v>3.9</v>
      </c>
    </row>
    <row r="152" spans="1:14" x14ac:dyDescent="0.35">
      <c r="A152" t="s">
        <v>299</v>
      </c>
      <c r="B152" t="s">
        <v>300</v>
      </c>
      <c r="C152" t="s">
        <v>16</v>
      </c>
      <c r="D152" t="s">
        <v>43</v>
      </c>
      <c r="E152">
        <v>158</v>
      </c>
      <c r="F152">
        <v>232</v>
      </c>
      <c r="G152">
        <v>68.099999999999994</v>
      </c>
      <c r="H152">
        <v>1102889</v>
      </c>
      <c r="I152">
        <v>36293</v>
      </c>
      <c r="J152">
        <v>643893</v>
      </c>
      <c r="K152">
        <v>1095749</v>
      </c>
      <c r="L152">
        <v>60</v>
      </c>
      <c r="M152" t="s">
        <v>18</v>
      </c>
      <c r="N152">
        <v>3.7</v>
      </c>
    </row>
    <row r="153" spans="1:14" x14ac:dyDescent="0.35">
      <c r="A153" t="s">
        <v>301</v>
      </c>
      <c r="B153" t="s">
        <v>302</v>
      </c>
      <c r="C153" t="s">
        <v>32</v>
      </c>
      <c r="D153" t="s">
        <v>43</v>
      </c>
      <c r="E153">
        <v>144</v>
      </c>
      <c r="F153">
        <v>232</v>
      </c>
      <c r="G153">
        <v>62.07</v>
      </c>
      <c r="H153">
        <v>570675</v>
      </c>
      <c r="I153">
        <v>149758</v>
      </c>
      <c r="J153">
        <v>636186</v>
      </c>
      <c r="K153">
        <v>1285417</v>
      </c>
      <c r="L153">
        <v>52</v>
      </c>
      <c r="M153" t="s">
        <v>18</v>
      </c>
      <c r="N153">
        <v>3.3</v>
      </c>
    </row>
    <row r="154" spans="1:14" x14ac:dyDescent="0.35">
      <c r="A154" t="s">
        <v>303</v>
      </c>
      <c r="B154" t="s">
        <v>304</v>
      </c>
      <c r="C154" t="s">
        <v>16</v>
      </c>
      <c r="D154" t="s">
        <v>43</v>
      </c>
      <c r="E154">
        <v>148</v>
      </c>
      <c r="F154">
        <v>232</v>
      </c>
      <c r="G154">
        <v>63.79</v>
      </c>
      <c r="H154">
        <v>1016736</v>
      </c>
      <c r="I154">
        <v>32742</v>
      </c>
      <c r="J154">
        <v>1150466</v>
      </c>
      <c r="K154">
        <v>1410395</v>
      </c>
      <c r="L154">
        <v>87</v>
      </c>
      <c r="M154" t="s">
        <v>18</v>
      </c>
      <c r="N154">
        <v>4.4000000000000004</v>
      </c>
    </row>
    <row r="155" spans="1:14" x14ac:dyDescent="0.35">
      <c r="A155" t="s">
        <v>305</v>
      </c>
      <c r="B155" t="s">
        <v>306</v>
      </c>
      <c r="C155" t="s">
        <v>59</v>
      </c>
      <c r="D155" t="s">
        <v>43</v>
      </c>
      <c r="E155">
        <v>179</v>
      </c>
      <c r="F155">
        <v>232</v>
      </c>
      <c r="G155">
        <v>77.16</v>
      </c>
      <c r="H155">
        <v>821372</v>
      </c>
      <c r="I155">
        <v>132811</v>
      </c>
      <c r="J155">
        <v>351886</v>
      </c>
      <c r="K155">
        <v>1007978</v>
      </c>
      <c r="L155">
        <v>55</v>
      </c>
      <c r="M155" t="s">
        <v>18</v>
      </c>
      <c r="N155">
        <v>4.3</v>
      </c>
    </row>
    <row r="156" spans="1:14" x14ac:dyDescent="0.35">
      <c r="A156" t="s">
        <v>307</v>
      </c>
      <c r="B156" t="s">
        <v>308</v>
      </c>
      <c r="C156" t="s">
        <v>21</v>
      </c>
      <c r="D156" t="s">
        <v>24</v>
      </c>
      <c r="E156">
        <v>146</v>
      </c>
      <c r="F156">
        <v>180</v>
      </c>
      <c r="G156">
        <v>81.11</v>
      </c>
      <c r="H156">
        <v>960323</v>
      </c>
      <c r="I156">
        <v>119749</v>
      </c>
      <c r="J156">
        <v>322586</v>
      </c>
      <c r="K156">
        <v>768194</v>
      </c>
      <c r="L156">
        <v>9</v>
      </c>
      <c r="M156" t="s">
        <v>33</v>
      </c>
      <c r="N156">
        <v>4.3</v>
      </c>
    </row>
    <row r="157" spans="1:14" x14ac:dyDescent="0.35">
      <c r="A157" t="s">
        <v>309</v>
      </c>
      <c r="B157" t="s">
        <v>310</v>
      </c>
      <c r="C157" t="s">
        <v>117</v>
      </c>
      <c r="D157" t="s">
        <v>17</v>
      </c>
      <c r="E157">
        <v>71</v>
      </c>
      <c r="F157">
        <v>78</v>
      </c>
      <c r="G157">
        <v>91.03</v>
      </c>
      <c r="H157">
        <v>296102</v>
      </c>
      <c r="I157">
        <v>55917</v>
      </c>
      <c r="J157">
        <v>409797</v>
      </c>
      <c r="K157">
        <v>748250</v>
      </c>
      <c r="L157">
        <v>58</v>
      </c>
      <c r="M157" t="s">
        <v>18</v>
      </c>
      <c r="N157">
        <v>3.2</v>
      </c>
    </row>
    <row r="158" spans="1:14" x14ac:dyDescent="0.35">
      <c r="A158" t="s">
        <v>311</v>
      </c>
      <c r="B158" t="s">
        <v>28</v>
      </c>
      <c r="C158" t="s">
        <v>39</v>
      </c>
      <c r="D158" t="s">
        <v>43</v>
      </c>
      <c r="E158">
        <v>165</v>
      </c>
      <c r="F158">
        <v>232</v>
      </c>
      <c r="G158">
        <v>71.12</v>
      </c>
      <c r="H158">
        <v>821538</v>
      </c>
      <c r="I158">
        <v>144010</v>
      </c>
      <c r="J158">
        <v>800506</v>
      </c>
      <c r="K158">
        <v>1092552</v>
      </c>
      <c r="L158">
        <v>67</v>
      </c>
      <c r="M158" t="s">
        <v>18</v>
      </c>
      <c r="N158">
        <v>4.0999999999999996</v>
      </c>
    </row>
    <row r="159" spans="1:14" x14ac:dyDescent="0.35">
      <c r="A159" t="s">
        <v>312</v>
      </c>
      <c r="B159" t="s">
        <v>313</v>
      </c>
      <c r="C159" t="s">
        <v>29</v>
      </c>
      <c r="D159" t="s">
        <v>43</v>
      </c>
      <c r="E159">
        <v>164</v>
      </c>
      <c r="F159">
        <v>232</v>
      </c>
      <c r="G159">
        <v>70.69</v>
      </c>
      <c r="H159">
        <v>904996</v>
      </c>
      <c r="I159">
        <v>26708</v>
      </c>
      <c r="J159">
        <v>854149</v>
      </c>
      <c r="K159">
        <v>969115</v>
      </c>
      <c r="L159">
        <v>46</v>
      </c>
      <c r="M159" t="s">
        <v>18</v>
      </c>
      <c r="N159">
        <v>4.5</v>
      </c>
    </row>
    <row r="160" spans="1:14" x14ac:dyDescent="0.35">
      <c r="A160" t="s">
        <v>314</v>
      </c>
      <c r="B160" t="s">
        <v>315</v>
      </c>
      <c r="C160" t="s">
        <v>29</v>
      </c>
      <c r="D160" t="s">
        <v>17</v>
      </c>
      <c r="E160">
        <v>64</v>
      </c>
      <c r="F160">
        <v>78</v>
      </c>
      <c r="G160">
        <v>82.05</v>
      </c>
      <c r="H160">
        <v>246410</v>
      </c>
      <c r="I160">
        <v>80399</v>
      </c>
      <c r="J160">
        <v>558448</v>
      </c>
      <c r="K160">
        <v>662085</v>
      </c>
      <c r="L160">
        <v>34</v>
      </c>
      <c r="M160" t="s">
        <v>18</v>
      </c>
      <c r="N160">
        <v>3.4</v>
      </c>
    </row>
    <row r="161" spans="1:14" x14ac:dyDescent="0.35">
      <c r="A161" t="s">
        <v>316</v>
      </c>
      <c r="B161" t="s">
        <v>317</v>
      </c>
      <c r="C161" t="s">
        <v>76</v>
      </c>
      <c r="D161" t="s">
        <v>43</v>
      </c>
      <c r="E161">
        <v>152</v>
      </c>
      <c r="F161">
        <v>232</v>
      </c>
      <c r="G161">
        <v>65.52</v>
      </c>
      <c r="H161">
        <v>872741</v>
      </c>
      <c r="I161">
        <v>99367</v>
      </c>
      <c r="J161">
        <v>358426</v>
      </c>
      <c r="K161">
        <v>798551</v>
      </c>
      <c r="L161">
        <v>80</v>
      </c>
      <c r="M161" t="s">
        <v>18</v>
      </c>
      <c r="N161">
        <v>3.4</v>
      </c>
    </row>
    <row r="162" spans="1:14" x14ac:dyDescent="0.35">
      <c r="A162" t="s">
        <v>318</v>
      </c>
      <c r="B162" t="s">
        <v>319</v>
      </c>
      <c r="C162" t="s">
        <v>76</v>
      </c>
      <c r="D162" t="s">
        <v>24</v>
      </c>
      <c r="E162">
        <v>142</v>
      </c>
      <c r="F162">
        <v>180</v>
      </c>
      <c r="G162">
        <v>78.89</v>
      </c>
      <c r="H162">
        <v>1107217</v>
      </c>
      <c r="I162">
        <v>56959</v>
      </c>
      <c r="J162">
        <v>1030123</v>
      </c>
      <c r="K162">
        <v>1137832</v>
      </c>
      <c r="L162">
        <v>71</v>
      </c>
      <c r="M162" t="s">
        <v>18</v>
      </c>
      <c r="N162">
        <v>4.0999999999999996</v>
      </c>
    </row>
    <row r="163" spans="1:14" x14ac:dyDescent="0.35">
      <c r="A163" t="s">
        <v>320</v>
      </c>
      <c r="B163" t="s">
        <v>321</v>
      </c>
      <c r="C163" t="s">
        <v>59</v>
      </c>
      <c r="D163" t="s">
        <v>43</v>
      </c>
      <c r="E163">
        <v>193</v>
      </c>
      <c r="F163">
        <v>232</v>
      </c>
      <c r="G163">
        <v>83.19</v>
      </c>
      <c r="H163">
        <v>725360</v>
      </c>
      <c r="I163">
        <v>59936</v>
      </c>
      <c r="J163">
        <v>401826</v>
      </c>
      <c r="K163">
        <v>1060428</v>
      </c>
      <c r="L163">
        <v>42</v>
      </c>
      <c r="M163" t="s">
        <v>18</v>
      </c>
      <c r="N163">
        <v>3.5</v>
      </c>
    </row>
    <row r="164" spans="1:14" x14ac:dyDescent="0.35">
      <c r="A164" t="s">
        <v>322</v>
      </c>
      <c r="B164" t="s">
        <v>323</v>
      </c>
      <c r="C164" t="s">
        <v>117</v>
      </c>
      <c r="D164" t="s">
        <v>24</v>
      </c>
      <c r="E164">
        <v>166</v>
      </c>
      <c r="F164">
        <v>180</v>
      </c>
      <c r="G164">
        <v>92.22</v>
      </c>
      <c r="H164">
        <v>754571</v>
      </c>
      <c r="I164">
        <v>102524</v>
      </c>
      <c r="J164">
        <v>276737</v>
      </c>
      <c r="K164">
        <v>537091</v>
      </c>
      <c r="L164">
        <v>76</v>
      </c>
      <c r="M164" t="s">
        <v>18</v>
      </c>
      <c r="N164">
        <v>3.5</v>
      </c>
    </row>
    <row r="165" spans="1:14" x14ac:dyDescent="0.35">
      <c r="A165" t="s">
        <v>324</v>
      </c>
      <c r="B165" t="s">
        <v>325</v>
      </c>
      <c r="C165" t="s">
        <v>59</v>
      </c>
      <c r="D165" t="s">
        <v>43</v>
      </c>
      <c r="E165">
        <v>147</v>
      </c>
      <c r="F165">
        <v>232</v>
      </c>
      <c r="G165">
        <v>63.36</v>
      </c>
      <c r="H165">
        <v>704088</v>
      </c>
      <c r="I165">
        <v>56656</v>
      </c>
      <c r="J165">
        <v>1083469</v>
      </c>
      <c r="K165">
        <v>1270960</v>
      </c>
      <c r="L165">
        <v>62</v>
      </c>
      <c r="M165" t="s">
        <v>18</v>
      </c>
      <c r="N165">
        <v>4.9000000000000004</v>
      </c>
    </row>
    <row r="166" spans="1:14" x14ac:dyDescent="0.35">
      <c r="A166" t="s">
        <v>326</v>
      </c>
      <c r="B166" t="s">
        <v>182</v>
      </c>
      <c r="C166" t="s">
        <v>36</v>
      </c>
      <c r="D166" t="s">
        <v>17</v>
      </c>
      <c r="E166">
        <v>57</v>
      </c>
      <c r="F166">
        <v>78</v>
      </c>
      <c r="G166">
        <v>73.08</v>
      </c>
      <c r="H166">
        <v>369705</v>
      </c>
      <c r="I166">
        <v>144960</v>
      </c>
      <c r="J166">
        <v>331237</v>
      </c>
      <c r="K166">
        <v>465752</v>
      </c>
      <c r="L166">
        <v>57</v>
      </c>
      <c r="M166" t="s">
        <v>18</v>
      </c>
      <c r="N166">
        <v>4.2</v>
      </c>
    </row>
    <row r="167" spans="1:14" x14ac:dyDescent="0.35">
      <c r="A167" t="s">
        <v>327</v>
      </c>
      <c r="B167" t="s">
        <v>328</v>
      </c>
      <c r="C167" t="s">
        <v>42</v>
      </c>
      <c r="D167" t="s">
        <v>24</v>
      </c>
      <c r="E167">
        <v>135</v>
      </c>
      <c r="F167">
        <v>180</v>
      </c>
      <c r="G167">
        <v>75</v>
      </c>
      <c r="H167">
        <v>685796</v>
      </c>
      <c r="I167">
        <v>71487</v>
      </c>
      <c r="J167">
        <v>461219</v>
      </c>
      <c r="K167">
        <v>741805</v>
      </c>
      <c r="L167">
        <v>20</v>
      </c>
      <c r="M167" t="s">
        <v>18</v>
      </c>
      <c r="N167">
        <v>3.7</v>
      </c>
    </row>
    <row r="168" spans="1:14" x14ac:dyDescent="0.35">
      <c r="A168" t="s">
        <v>329</v>
      </c>
      <c r="B168" t="s">
        <v>100</v>
      </c>
      <c r="C168" t="s">
        <v>76</v>
      </c>
      <c r="D168" t="s">
        <v>43</v>
      </c>
      <c r="E168">
        <v>149</v>
      </c>
      <c r="F168">
        <v>232</v>
      </c>
      <c r="G168">
        <v>64.22</v>
      </c>
      <c r="H168">
        <v>1129065</v>
      </c>
      <c r="I168">
        <v>55771</v>
      </c>
      <c r="J168">
        <v>746197</v>
      </c>
      <c r="K168">
        <v>1062057</v>
      </c>
      <c r="L168">
        <v>51</v>
      </c>
      <c r="M168" t="s">
        <v>18</v>
      </c>
      <c r="N168">
        <v>3.9</v>
      </c>
    </row>
    <row r="169" spans="1:14" x14ac:dyDescent="0.35">
      <c r="A169" t="s">
        <v>330</v>
      </c>
      <c r="B169" t="s">
        <v>331</v>
      </c>
      <c r="C169" t="s">
        <v>16</v>
      </c>
      <c r="D169" t="s">
        <v>24</v>
      </c>
      <c r="E169">
        <v>125</v>
      </c>
      <c r="F169">
        <v>180</v>
      </c>
      <c r="G169">
        <v>69.44</v>
      </c>
      <c r="H169">
        <v>623124</v>
      </c>
      <c r="I169">
        <v>128693</v>
      </c>
      <c r="J169">
        <v>994908</v>
      </c>
      <c r="K169">
        <v>1096446</v>
      </c>
      <c r="L169">
        <v>29</v>
      </c>
      <c r="M169" t="s">
        <v>18</v>
      </c>
      <c r="N169">
        <v>3.5</v>
      </c>
    </row>
    <row r="170" spans="1:14" x14ac:dyDescent="0.35">
      <c r="A170" t="s">
        <v>332</v>
      </c>
      <c r="B170" t="s">
        <v>333</v>
      </c>
      <c r="C170" t="s">
        <v>76</v>
      </c>
      <c r="D170" t="s">
        <v>43</v>
      </c>
      <c r="E170">
        <v>198</v>
      </c>
      <c r="F170">
        <v>232</v>
      </c>
      <c r="G170">
        <v>85.34</v>
      </c>
      <c r="H170">
        <v>941003</v>
      </c>
      <c r="I170">
        <v>24867</v>
      </c>
      <c r="J170">
        <v>350690</v>
      </c>
      <c r="K170">
        <v>647912</v>
      </c>
      <c r="L170">
        <v>41</v>
      </c>
      <c r="M170" t="s">
        <v>18</v>
      </c>
      <c r="N170">
        <v>4.5999999999999996</v>
      </c>
    </row>
    <row r="171" spans="1:14" x14ac:dyDescent="0.35">
      <c r="A171" t="s">
        <v>334</v>
      </c>
      <c r="B171" t="s">
        <v>335</v>
      </c>
      <c r="C171" t="s">
        <v>21</v>
      </c>
      <c r="D171" t="s">
        <v>24</v>
      </c>
      <c r="E171">
        <v>143</v>
      </c>
      <c r="F171">
        <v>180</v>
      </c>
      <c r="G171">
        <v>79.44</v>
      </c>
      <c r="H171">
        <v>867168</v>
      </c>
      <c r="I171">
        <v>39559</v>
      </c>
      <c r="J171">
        <v>524785</v>
      </c>
      <c r="K171">
        <v>970866</v>
      </c>
      <c r="L171">
        <v>78</v>
      </c>
      <c r="M171" t="s">
        <v>18</v>
      </c>
      <c r="N171">
        <v>4.7</v>
      </c>
    </row>
    <row r="172" spans="1:14" x14ac:dyDescent="0.35">
      <c r="A172" t="s">
        <v>336</v>
      </c>
      <c r="B172" t="s">
        <v>184</v>
      </c>
      <c r="C172" t="s">
        <v>16</v>
      </c>
      <c r="D172" t="s">
        <v>43</v>
      </c>
      <c r="E172">
        <v>152</v>
      </c>
      <c r="F172">
        <v>232</v>
      </c>
      <c r="G172">
        <v>65.52</v>
      </c>
      <c r="H172">
        <v>1071784</v>
      </c>
      <c r="I172">
        <v>126826</v>
      </c>
      <c r="J172">
        <v>734014</v>
      </c>
      <c r="K172">
        <v>949943</v>
      </c>
      <c r="L172">
        <v>62</v>
      </c>
      <c r="M172" t="s">
        <v>18</v>
      </c>
      <c r="N172">
        <v>4.4000000000000004</v>
      </c>
    </row>
    <row r="173" spans="1:14" x14ac:dyDescent="0.35">
      <c r="A173" t="s">
        <v>337</v>
      </c>
      <c r="B173" t="s">
        <v>338</v>
      </c>
      <c r="C173" t="s">
        <v>21</v>
      </c>
      <c r="D173" t="s">
        <v>24</v>
      </c>
      <c r="E173">
        <v>131</v>
      </c>
      <c r="F173">
        <v>180</v>
      </c>
      <c r="G173">
        <v>72.78</v>
      </c>
      <c r="H173">
        <v>900672</v>
      </c>
      <c r="I173">
        <v>103462</v>
      </c>
      <c r="J173">
        <v>847195</v>
      </c>
      <c r="K173">
        <v>996666</v>
      </c>
      <c r="L173">
        <v>45</v>
      </c>
      <c r="M173" t="s">
        <v>18</v>
      </c>
      <c r="N173">
        <v>3.9</v>
      </c>
    </row>
    <row r="174" spans="1:14" x14ac:dyDescent="0.35">
      <c r="A174" t="s">
        <v>339</v>
      </c>
      <c r="B174" t="s">
        <v>340</v>
      </c>
      <c r="C174" t="s">
        <v>36</v>
      </c>
      <c r="D174" t="s">
        <v>24</v>
      </c>
      <c r="E174">
        <v>164</v>
      </c>
      <c r="F174">
        <v>180</v>
      </c>
      <c r="G174">
        <v>91.11</v>
      </c>
      <c r="H174">
        <v>698321</v>
      </c>
      <c r="I174">
        <v>119637</v>
      </c>
      <c r="J174">
        <v>729167</v>
      </c>
      <c r="K174">
        <v>1360046</v>
      </c>
      <c r="L174">
        <v>79</v>
      </c>
      <c r="M174" t="s">
        <v>18</v>
      </c>
      <c r="N174">
        <v>4.4000000000000004</v>
      </c>
    </row>
    <row r="175" spans="1:14" x14ac:dyDescent="0.35">
      <c r="A175" t="s">
        <v>341</v>
      </c>
      <c r="B175" t="s">
        <v>342</v>
      </c>
      <c r="C175" t="s">
        <v>29</v>
      </c>
      <c r="D175" t="s">
        <v>24</v>
      </c>
      <c r="E175">
        <v>132</v>
      </c>
      <c r="F175">
        <v>180</v>
      </c>
      <c r="G175">
        <v>73.33</v>
      </c>
      <c r="H175">
        <v>650853</v>
      </c>
      <c r="I175">
        <v>88843</v>
      </c>
      <c r="J175">
        <v>782162</v>
      </c>
      <c r="K175">
        <v>1477956</v>
      </c>
      <c r="L175">
        <v>55</v>
      </c>
      <c r="M175" t="s">
        <v>18</v>
      </c>
      <c r="N175">
        <v>4.7</v>
      </c>
    </row>
    <row r="176" spans="1:14" x14ac:dyDescent="0.35">
      <c r="A176" t="s">
        <v>343</v>
      </c>
      <c r="B176" t="s">
        <v>344</v>
      </c>
      <c r="C176" t="s">
        <v>59</v>
      </c>
      <c r="D176" t="s">
        <v>17</v>
      </c>
      <c r="E176">
        <v>54</v>
      </c>
      <c r="F176">
        <v>78</v>
      </c>
      <c r="G176">
        <v>69.23</v>
      </c>
      <c r="H176">
        <v>301029</v>
      </c>
      <c r="I176">
        <v>96620</v>
      </c>
      <c r="J176">
        <v>711505</v>
      </c>
      <c r="K176">
        <v>1083470</v>
      </c>
      <c r="L176">
        <v>87</v>
      </c>
      <c r="M176" t="s">
        <v>18</v>
      </c>
      <c r="N176">
        <v>4.0999999999999996</v>
      </c>
    </row>
    <row r="177" spans="1:14" x14ac:dyDescent="0.35">
      <c r="A177" t="s">
        <v>345</v>
      </c>
      <c r="B177" t="s">
        <v>346</v>
      </c>
      <c r="C177" t="s">
        <v>32</v>
      </c>
      <c r="D177" t="s">
        <v>17</v>
      </c>
      <c r="E177">
        <v>74</v>
      </c>
      <c r="F177">
        <v>78</v>
      </c>
      <c r="G177">
        <v>94.87</v>
      </c>
      <c r="H177">
        <v>644701</v>
      </c>
      <c r="I177">
        <v>109859</v>
      </c>
      <c r="J177">
        <v>1082201</v>
      </c>
      <c r="K177">
        <v>1621434</v>
      </c>
      <c r="L177">
        <v>83</v>
      </c>
      <c r="M177" t="s">
        <v>18</v>
      </c>
      <c r="N177">
        <v>3.9</v>
      </c>
    </row>
    <row r="178" spans="1:14" x14ac:dyDescent="0.35">
      <c r="A178" t="s">
        <v>347</v>
      </c>
      <c r="B178" t="s">
        <v>348</v>
      </c>
      <c r="C178" t="s">
        <v>32</v>
      </c>
      <c r="D178" t="s">
        <v>17</v>
      </c>
      <c r="E178">
        <v>76</v>
      </c>
      <c r="F178">
        <v>78</v>
      </c>
      <c r="G178">
        <v>97.44</v>
      </c>
      <c r="H178">
        <v>649616</v>
      </c>
      <c r="I178">
        <v>19318</v>
      </c>
      <c r="J178">
        <v>590873</v>
      </c>
      <c r="K178">
        <v>750204</v>
      </c>
      <c r="L178">
        <v>85</v>
      </c>
      <c r="M178" t="s">
        <v>18</v>
      </c>
      <c r="N178">
        <v>4.5999999999999996</v>
      </c>
    </row>
    <row r="179" spans="1:14" x14ac:dyDescent="0.35">
      <c r="A179" t="s">
        <v>349</v>
      </c>
      <c r="B179" t="s">
        <v>350</v>
      </c>
      <c r="C179" t="s">
        <v>32</v>
      </c>
      <c r="D179" t="s">
        <v>17</v>
      </c>
      <c r="E179">
        <v>63</v>
      </c>
      <c r="F179">
        <v>78</v>
      </c>
      <c r="G179">
        <v>80.77</v>
      </c>
      <c r="H179">
        <v>526088</v>
      </c>
      <c r="I179">
        <v>114828</v>
      </c>
      <c r="J179">
        <v>567495</v>
      </c>
      <c r="K179">
        <v>704117</v>
      </c>
      <c r="L179">
        <v>80</v>
      </c>
      <c r="M179" t="s">
        <v>18</v>
      </c>
      <c r="N179">
        <v>3.3</v>
      </c>
    </row>
    <row r="180" spans="1:14" x14ac:dyDescent="0.35">
      <c r="A180" t="s">
        <v>351</v>
      </c>
      <c r="B180" t="s">
        <v>352</v>
      </c>
      <c r="C180" t="s">
        <v>32</v>
      </c>
      <c r="D180" t="s">
        <v>17</v>
      </c>
      <c r="E180">
        <v>55</v>
      </c>
      <c r="F180">
        <v>78</v>
      </c>
      <c r="G180">
        <v>70.510000000000005</v>
      </c>
      <c r="H180">
        <v>347331</v>
      </c>
      <c r="I180">
        <v>101078</v>
      </c>
      <c r="J180">
        <v>1053306</v>
      </c>
      <c r="K180">
        <v>1636644</v>
      </c>
      <c r="L180">
        <v>87</v>
      </c>
      <c r="M180" t="s">
        <v>18</v>
      </c>
      <c r="N180">
        <v>4.4000000000000004</v>
      </c>
    </row>
    <row r="181" spans="1:14" x14ac:dyDescent="0.35">
      <c r="A181" t="s">
        <v>353</v>
      </c>
      <c r="B181" t="s">
        <v>354</v>
      </c>
      <c r="C181" t="s">
        <v>39</v>
      </c>
      <c r="D181" t="s">
        <v>24</v>
      </c>
      <c r="E181">
        <v>129</v>
      </c>
      <c r="F181">
        <v>180</v>
      </c>
      <c r="G181">
        <v>71.67</v>
      </c>
      <c r="H181">
        <v>453015</v>
      </c>
      <c r="I181">
        <v>83149</v>
      </c>
      <c r="J181">
        <v>768433</v>
      </c>
      <c r="K181">
        <v>1319481</v>
      </c>
      <c r="L181">
        <v>82</v>
      </c>
      <c r="M181" t="s">
        <v>18</v>
      </c>
      <c r="N181">
        <v>3.7</v>
      </c>
    </row>
    <row r="182" spans="1:14" x14ac:dyDescent="0.35">
      <c r="A182" t="s">
        <v>355</v>
      </c>
      <c r="B182" t="s">
        <v>356</v>
      </c>
      <c r="C182" t="s">
        <v>32</v>
      </c>
      <c r="D182" t="s">
        <v>24</v>
      </c>
      <c r="E182">
        <v>138</v>
      </c>
      <c r="F182">
        <v>180</v>
      </c>
      <c r="G182">
        <v>76.67</v>
      </c>
      <c r="H182">
        <v>489065</v>
      </c>
      <c r="I182">
        <v>132471</v>
      </c>
      <c r="J182">
        <v>767081</v>
      </c>
      <c r="K182">
        <v>1009243</v>
      </c>
      <c r="L182">
        <v>41</v>
      </c>
      <c r="M182" t="s">
        <v>18</v>
      </c>
      <c r="N182">
        <v>4.0999999999999996</v>
      </c>
    </row>
    <row r="183" spans="1:14" x14ac:dyDescent="0.35">
      <c r="A183" t="s">
        <v>357</v>
      </c>
      <c r="B183" t="s">
        <v>358</v>
      </c>
      <c r="C183" t="s">
        <v>32</v>
      </c>
      <c r="D183" t="s">
        <v>43</v>
      </c>
      <c r="E183">
        <v>180</v>
      </c>
      <c r="F183">
        <v>232</v>
      </c>
      <c r="G183">
        <v>77.59</v>
      </c>
      <c r="H183">
        <v>851250</v>
      </c>
      <c r="I183">
        <v>35554</v>
      </c>
      <c r="J183">
        <v>1054630</v>
      </c>
      <c r="K183">
        <v>1588630</v>
      </c>
      <c r="L183">
        <v>69</v>
      </c>
      <c r="M183" t="s">
        <v>18</v>
      </c>
      <c r="N183">
        <v>3.8</v>
      </c>
    </row>
    <row r="184" spans="1:14" x14ac:dyDescent="0.35">
      <c r="A184" t="s">
        <v>359</v>
      </c>
      <c r="B184" t="s">
        <v>63</v>
      </c>
      <c r="C184" t="s">
        <v>32</v>
      </c>
      <c r="D184" t="s">
        <v>17</v>
      </c>
      <c r="E184">
        <v>74</v>
      </c>
      <c r="F184">
        <v>78</v>
      </c>
      <c r="G184">
        <v>94.87</v>
      </c>
      <c r="H184">
        <v>606033</v>
      </c>
      <c r="I184">
        <v>108349</v>
      </c>
      <c r="J184">
        <v>1001630</v>
      </c>
      <c r="K184">
        <v>1674594</v>
      </c>
      <c r="L184">
        <v>11</v>
      </c>
      <c r="M184" t="s">
        <v>33</v>
      </c>
      <c r="N184">
        <v>4.8</v>
      </c>
    </row>
    <row r="185" spans="1:14" x14ac:dyDescent="0.35">
      <c r="A185" t="s">
        <v>360</v>
      </c>
      <c r="B185" t="s">
        <v>298</v>
      </c>
      <c r="C185" t="s">
        <v>76</v>
      </c>
      <c r="D185" t="s">
        <v>43</v>
      </c>
      <c r="E185">
        <v>183</v>
      </c>
      <c r="F185">
        <v>232</v>
      </c>
      <c r="G185">
        <v>78.88</v>
      </c>
      <c r="H185">
        <v>1045631</v>
      </c>
      <c r="I185">
        <v>126992</v>
      </c>
      <c r="J185">
        <v>970567</v>
      </c>
      <c r="K185">
        <v>1587357</v>
      </c>
      <c r="L185">
        <v>62</v>
      </c>
      <c r="M185" t="s">
        <v>18</v>
      </c>
      <c r="N185">
        <v>4.3</v>
      </c>
    </row>
    <row r="186" spans="1:14" x14ac:dyDescent="0.35">
      <c r="A186" t="s">
        <v>361</v>
      </c>
      <c r="B186" t="s">
        <v>362</v>
      </c>
      <c r="C186" t="s">
        <v>36</v>
      </c>
      <c r="D186" t="s">
        <v>24</v>
      </c>
      <c r="E186">
        <v>132</v>
      </c>
      <c r="F186">
        <v>180</v>
      </c>
      <c r="G186">
        <v>73.33</v>
      </c>
      <c r="H186">
        <v>699408</v>
      </c>
      <c r="I186">
        <v>91904</v>
      </c>
      <c r="J186">
        <v>427994</v>
      </c>
      <c r="K186">
        <v>1075604</v>
      </c>
      <c r="L186">
        <v>47</v>
      </c>
      <c r="M186" t="s">
        <v>18</v>
      </c>
      <c r="N186">
        <v>4.7</v>
      </c>
    </row>
    <row r="187" spans="1:14" x14ac:dyDescent="0.35">
      <c r="A187" t="s">
        <v>363</v>
      </c>
      <c r="B187" t="s">
        <v>364</v>
      </c>
      <c r="C187" t="s">
        <v>39</v>
      </c>
      <c r="D187" t="s">
        <v>17</v>
      </c>
      <c r="E187">
        <v>68</v>
      </c>
      <c r="F187">
        <v>78</v>
      </c>
      <c r="G187">
        <v>87.18</v>
      </c>
      <c r="H187">
        <v>556951</v>
      </c>
      <c r="I187">
        <v>79473</v>
      </c>
      <c r="J187">
        <v>529539</v>
      </c>
      <c r="K187">
        <v>783397</v>
      </c>
      <c r="L187">
        <v>40</v>
      </c>
      <c r="M187" t="s">
        <v>18</v>
      </c>
      <c r="N187">
        <v>3.5</v>
      </c>
    </row>
    <row r="188" spans="1:14" x14ac:dyDescent="0.35">
      <c r="A188" t="s">
        <v>365</v>
      </c>
      <c r="B188" t="s">
        <v>149</v>
      </c>
      <c r="C188" t="s">
        <v>29</v>
      </c>
      <c r="D188" t="s">
        <v>17</v>
      </c>
      <c r="E188">
        <v>55</v>
      </c>
      <c r="F188">
        <v>78</v>
      </c>
      <c r="G188">
        <v>70.510000000000005</v>
      </c>
      <c r="H188">
        <v>407632</v>
      </c>
      <c r="I188">
        <v>147739</v>
      </c>
      <c r="J188">
        <v>578484</v>
      </c>
      <c r="K188">
        <v>1001684</v>
      </c>
      <c r="L188">
        <v>36</v>
      </c>
      <c r="M188" t="s">
        <v>18</v>
      </c>
      <c r="N188">
        <v>4.0999999999999996</v>
      </c>
    </row>
    <row r="189" spans="1:14" x14ac:dyDescent="0.35">
      <c r="A189" t="s">
        <v>366</v>
      </c>
      <c r="B189" t="s">
        <v>367</v>
      </c>
      <c r="C189" t="s">
        <v>39</v>
      </c>
      <c r="D189" t="s">
        <v>24</v>
      </c>
      <c r="E189">
        <v>174</v>
      </c>
      <c r="F189">
        <v>180</v>
      </c>
      <c r="G189">
        <v>96.67</v>
      </c>
      <c r="H189">
        <v>1391741</v>
      </c>
      <c r="I189">
        <v>57848</v>
      </c>
      <c r="J189">
        <v>270263</v>
      </c>
      <c r="K189">
        <v>546337</v>
      </c>
      <c r="L189">
        <v>21</v>
      </c>
      <c r="M189" t="s">
        <v>18</v>
      </c>
      <c r="N189">
        <v>3.2</v>
      </c>
    </row>
    <row r="190" spans="1:14" x14ac:dyDescent="0.35">
      <c r="A190" t="s">
        <v>368</v>
      </c>
      <c r="B190" t="s">
        <v>369</v>
      </c>
      <c r="C190" t="s">
        <v>39</v>
      </c>
      <c r="D190" t="s">
        <v>43</v>
      </c>
      <c r="E190">
        <v>175</v>
      </c>
      <c r="F190">
        <v>232</v>
      </c>
      <c r="G190">
        <v>75.430000000000007</v>
      </c>
      <c r="H190">
        <v>1146419</v>
      </c>
      <c r="I190">
        <v>69969</v>
      </c>
      <c r="J190">
        <v>853435</v>
      </c>
      <c r="K190">
        <v>1440356</v>
      </c>
      <c r="L190">
        <v>36</v>
      </c>
      <c r="M190" t="s">
        <v>18</v>
      </c>
      <c r="N190">
        <v>4.2</v>
      </c>
    </row>
    <row r="191" spans="1:14" x14ac:dyDescent="0.35">
      <c r="A191" t="s">
        <v>370</v>
      </c>
      <c r="B191" t="s">
        <v>371</v>
      </c>
      <c r="C191" t="s">
        <v>39</v>
      </c>
      <c r="D191" t="s">
        <v>17</v>
      </c>
      <c r="E191">
        <v>62</v>
      </c>
      <c r="F191">
        <v>78</v>
      </c>
      <c r="G191">
        <v>79.489999999999995</v>
      </c>
      <c r="H191">
        <v>519103</v>
      </c>
      <c r="I191">
        <v>16772</v>
      </c>
      <c r="J191">
        <v>903315</v>
      </c>
      <c r="K191">
        <v>1365310</v>
      </c>
      <c r="L191">
        <v>13</v>
      </c>
      <c r="M191" t="s">
        <v>33</v>
      </c>
      <c r="N191">
        <v>4.2</v>
      </c>
    </row>
    <row r="192" spans="1:14" x14ac:dyDescent="0.35">
      <c r="A192" t="s">
        <v>372</v>
      </c>
      <c r="B192" t="s">
        <v>373</v>
      </c>
      <c r="C192" t="s">
        <v>117</v>
      </c>
      <c r="D192" t="s">
        <v>17</v>
      </c>
      <c r="E192">
        <v>53</v>
      </c>
      <c r="F192">
        <v>78</v>
      </c>
      <c r="G192">
        <v>67.95</v>
      </c>
      <c r="H192">
        <v>425852</v>
      </c>
      <c r="I192">
        <v>88593</v>
      </c>
      <c r="J192">
        <v>641508</v>
      </c>
      <c r="K192">
        <v>1099859</v>
      </c>
      <c r="L192">
        <v>82</v>
      </c>
      <c r="M192" t="s">
        <v>18</v>
      </c>
      <c r="N192">
        <v>3.7</v>
      </c>
    </row>
    <row r="193" spans="1:14" x14ac:dyDescent="0.35">
      <c r="A193" t="s">
        <v>374</v>
      </c>
      <c r="B193" t="s">
        <v>20</v>
      </c>
      <c r="C193" t="s">
        <v>36</v>
      </c>
      <c r="D193" t="s">
        <v>43</v>
      </c>
      <c r="E193">
        <v>168</v>
      </c>
      <c r="F193">
        <v>232</v>
      </c>
      <c r="G193">
        <v>72.41</v>
      </c>
      <c r="H193">
        <v>1253802</v>
      </c>
      <c r="I193">
        <v>89370</v>
      </c>
      <c r="J193">
        <v>1018014</v>
      </c>
      <c r="K193">
        <v>1637868</v>
      </c>
      <c r="L193">
        <v>80</v>
      </c>
      <c r="M193" t="s">
        <v>18</v>
      </c>
      <c r="N193">
        <v>3.8</v>
      </c>
    </row>
    <row r="194" spans="1:14" x14ac:dyDescent="0.35">
      <c r="A194" t="s">
        <v>375</v>
      </c>
      <c r="B194" t="s">
        <v>376</v>
      </c>
      <c r="C194" t="s">
        <v>16</v>
      </c>
      <c r="D194" t="s">
        <v>17</v>
      </c>
      <c r="E194">
        <v>71</v>
      </c>
      <c r="F194">
        <v>78</v>
      </c>
      <c r="G194">
        <v>91.03</v>
      </c>
      <c r="H194">
        <v>386839</v>
      </c>
      <c r="I194">
        <v>23478</v>
      </c>
      <c r="J194">
        <v>981784</v>
      </c>
      <c r="K194">
        <v>1432405</v>
      </c>
      <c r="L194">
        <v>69</v>
      </c>
      <c r="M194" t="s">
        <v>18</v>
      </c>
      <c r="N194">
        <v>4.7</v>
      </c>
    </row>
    <row r="195" spans="1:14" x14ac:dyDescent="0.35">
      <c r="A195" t="s">
        <v>377</v>
      </c>
      <c r="B195" t="s">
        <v>371</v>
      </c>
      <c r="C195" t="s">
        <v>29</v>
      </c>
      <c r="D195" t="s">
        <v>24</v>
      </c>
      <c r="E195">
        <v>110</v>
      </c>
      <c r="F195">
        <v>180</v>
      </c>
      <c r="G195">
        <v>61.11</v>
      </c>
      <c r="H195">
        <v>391892</v>
      </c>
      <c r="I195">
        <v>111038</v>
      </c>
      <c r="J195">
        <v>887075</v>
      </c>
      <c r="K195">
        <v>1118121</v>
      </c>
      <c r="L195">
        <v>72</v>
      </c>
      <c r="M195" t="s">
        <v>18</v>
      </c>
      <c r="N195">
        <v>3.8</v>
      </c>
    </row>
    <row r="196" spans="1:14" x14ac:dyDescent="0.35">
      <c r="A196" t="s">
        <v>378</v>
      </c>
      <c r="B196" t="s">
        <v>379</v>
      </c>
      <c r="C196" t="s">
        <v>21</v>
      </c>
      <c r="D196" t="s">
        <v>17</v>
      </c>
      <c r="E196">
        <v>76</v>
      </c>
      <c r="F196">
        <v>78</v>
      </c>
      <c r="G196">
        <v>97.44</v>
      </c>
      <c r="H196">
        <v>317265</v>
      </c>
      <c r="I196">
        <v>106512</v>
      </c>
      <c r="J196">
        <v>293877</v>
      </c>
      <c r="K196">
        <v>717692</v>
      </c>
      <c r="L196">
        <v>3</v>
      </c>
      <c r="M196" t="s">
        <v>33</v>
      </c>
      <c r="N196">
        <v>4.5999999999999996</v>
      </c>
    </row>
    <row r="197" spans="1:14" x14ac:dyDescent="0.35">
      <c r="A197" t="s">
        <v>380</v>
      </c>
      <c r="B197" t="s">
        <v>52</v>
      </c>
      <c r="C197" t="s">
        <v>16</v>
      </c>
      <c r="D197" t="s">
        <v>17</v>
      </c>
      <c r="E197">
        <v>68</v>
      </c>
      <c r="F197">
        <v>78</v>
      </c>
      <c r="G197">
        <v>87.18</v>
      </c>
      <c r="H197">
        <v>365649</v>
      </c>
      <c r="I197">
        <v>76202</v>
      </c>
      <c r="J197">
        <v>1057521</v>
      </c>
      <c r="K197">
        <v>1679725</v>
      </c>
      <c r="L197">
        <v>27</v>
      </c>
      <c r="M197" t="s">
        <v>18</v>
      </c>
      <c r="N197">
        <v>4.5999999999999996</v>
      </c>
    </row>
    <row r="198" spans="1:14" x14ac:dyDescent="0.35">
      <c r="A198" t="s">
        <v>381</v>
      </c>
      <c r="B198" t="s">
        <v>382</v>
      </c>
      <c r="C198" t="s">
        <v>16</v>
      </c>
      <c r="D198" t="s">
        <v>43</v>
      </c>
      <c r="E198">
        <v>177</v>
      </c>
      <c r="F198">
        <v>232</v>
      </c>
      <c r="G198">
        <v>76.290000000000006</v>
      </c>
      <c r="H198">
        <v>650888</v>
      </c>
      <c r="I198">
        <v>117020</v>
      </c>
      <c r="J198">
        <v>799128</v>
      </c>
      <c r="K198">
        <v>906460</v>
      </c>
      <c r="L198">
        <v>2</v>
      </c>
      <c r="M198" t="s">
        <v>33</v>
      </c>
      <c r="N198">
        <v>3.4</v>
      </c>
    </row>
    <row r="199" spans="1:14" x14ac:dyDescent="0.35">
      <c r="A199" t="s">
        <v>383</v>
      </c>
      <c r="B199" t="s">
        <v>49</v>
      </c>
      <c r="C199" t="s">
        <v>42</v>
      </c>
      <c r="D199" t="s">
        <v>24</v>
      </c>
      <c r="E199">
        <v>150</v>
      </c>
      <c r="F199">
        <v>180</v>
      </c>
      <c r="G199">
        <v>83.33</v>
      </c>
      <c r="H199">
        <v>729644</v>
      </c>
      <c r="I199">
        <v>120876</v>
      </c>
      <c r="J199">
        <v>632105</v>
      </c>
      <c r="K199">
        <v>784286</v>
      </c>
      <c r="L199">
        <v>88</v>
      </c>
      <c r="M199" t="s">
        <v>18</v>
      </c>
      <c r="N199">
        <v>4</v>
      </c>
    </row>
    <row r="200" spans="1:14" x14ac:dyDescent="0.35">
      <c r="A200" t="s">
        <v>384</v>
      </c>
      <c r="B200" t="s">
        <v>187</v>
      </c>
      <c r="C200" t="s">
        <v>21</v>
      </c>
      <c r="D200" t="s">
        <v>24</v>
      </c>
      <c r="E200">
        <v>166</v>
      </c>
      <c r="F200">
        <v>180</v>
      </c>
      <c r="G200">
        <v>92.22</v>
      </c>
      <c r="H200">
        <v>1433089</v>
      </c>
      <c r="I200">
        <v>75615</v>
      </c>
      <c r="J200">
        <v>963344</v>
      </c>
      <c r="K200">
        <v>1584411</v>
      </c>
      <c r="L200">
        <v>29</v>
      </c>
      <c r="M200" t="s">
        <v>18</v>
      </c>
      <c r="N200">
        <v>3.9</v>
      </c>
    </row>
    <row r="201" spans="1:14" x14ac:dyDescent="0.35">
      <c r="A201" t="s">
        <v>385</v>
      </c>
      <c r="B201" t="s">
        <v>243</v>
      </c>
      <c r="C201" t="s">
        <v>29</v>
      </c>
      <c r="D201" t="s">
        <v>17</v>
      </c>
      <c r="E201">
        <v>53</v>
      </c>
      <c r="F201">
        <v>78</v>
      </c>
      <c r="G201">
        <v>67.95</v>
      </c>
      <c r="H201">
        <v>190739</v>
      </c>
      <c r="I201">
        <v>101373</v>
      </c>
      <c r="J201">
        <v>529347</v>
      </c>
      <c r="K201">
        <v>1185919</v>
      </c>
      <c r="L201">
        <v>11</v>
      </c>
      <c r="M201" t="s">
        <v>33</v>
      </c>
      <c r="N201">
        <v>3.7</v>
      </c>
    </row>
    <row r="202" spans="1:14" x14ac:dyDescent="0.35">
      <c r="A202" t="s">
        <v>386</v>
      </c>
      <c r="B202" t="s">
        <v>387</v>
      </c>
      <c r="C202" t="s">
        <v>59</v>
      </c>
      <c r="D202" t="s">
        <v>17</v>
      </c>
      <c r="E202">
        <v>74</v>
      </c>
      <c r="F202">
        <v>78</v>
      </c>
      <c r="G202">
        <v>94.87</v>
      </c>
      <c r="H202">
        <v>441417</v>
      </c>
      <c r="I202">
        <v>129254</v>
      </c>
      <c r="J202">
        <v>1150375</v>
      </c>
      <c r="K202">
        <v>1606664</v>
      </c>
      <c r="L202">
        <v>14</v>
      </c>
      <c r="M202" t="s">
        <v>33</v>
      </c>
      <c r="N202">
        <v>4.0999999999999996</v>
      </c>
    </row>
    <row r="203" spans="1:14" x14ac:dyDescent="0.35">
      <c r="A203" t="s">
        <v>388</v>
      </c>
      <c r="B203" t="s">
        <v>389</v>
      </c>
      <c r="C203" t="s">
        <v>76</v>
      </c>
      <c r="D203" t="s">
        <v>24</v>
      </c>
      <c r="E203">
        <v>136</v>
      </c>
      <c r="F203">
        <v>180</v>
      </c>
      <c r="G203">
        <v>75.56</v>
      </c>
      <c r="H203">
        <v>1044062</v>
      </c>
      <c r="I203">
        <v>59430</v>
      </c>
      <c r="J203">
        <v>1142128</v>
      </c>
      <c r="K203">
        <v>1510868</v>
      </c>
      <c r="L203">
        <v>88</v>
      </c>
      <c r="M203" t="s">
        <v>18</v>
      </c>
      <c r="N203">
        <v>4.0999999999999996</v>
      </c>
    </row>
    <row r="204" spans="1:14" x14ac:dyDescent="0.35">
      <c r="A204" t="s">
        <v>390</v>
      </c>
      <c r="B204" t="s">
        <v>391</v>
      </c>
      <c r="C204" t="s">
        <v>76</v>
      </c>
      <c r="D204" t="s">
        <v>43</v>
      </c>
      <c r="E204">
        <v>185</v>
      </c>
      <c r="F204">
        <v>232</v>
      </c>
      <c r="G204">
        <v>79.739999999999995</v>
      </c>
      <c r="H204">
        <v>1500262</v>
      </c>
      <c r="I204">
        <v>49946</v>
      </c>
      <c r="J204">
        <v>405976</v>
      </c>
      <c r="K204">
        <v>754479</v>
      </c>
      <c r="L204">
        <v>73</v>
      </c>
      <c r="M204" t="s">
        <v>18</v>
      </c>
      <c r="N204">
        <v>4.3</v>
      </c>
    </row>
    <row r="205" spans="1:14" x14ac:dyDescent="0.35">
      <c r="A205" t="s">
        <v>392</v>
      </c>
      <c r="B205" t="s">
        <v>393</v>
      </c>
      <c r="C205" t="s">
        <v>16</v>
      </c>
      <c r="D205" t="s">
        <v>24</v>
      </c>
      <c r="E205">
        <v>146</v>
      </c>
      <c r="F205">
        <v>180</v>
      </c>
      <c r="G205">
        <v>81.11</v>
      </c>
      <c r="H205">
        <v>750863</v>
      </c>
      <c r="I205">
        <v>119750</v>
      </c>
      <c r="J205">
        <v>278601</v>
      </c>
      <c r="K205">
        <v>929685</v>
      </c>
      <c r="L205">
        <v>56</v>
      </c>
      <c r="M205" t="s">
        <v>18</v>
      </c>
      <c r="N205">
        <v>4.3</v>
      </c>
    </row>
    <row r="206" spans="1:14" x14ac:dyDescent="0.35">
      <c r="A206" t="s">
        <v>394</v>
      </c>
      <c r="B206" t="s">
        <v>395</v>
      </c>
      <c r="C206" t="s">
        <v>39</v>
      </c>
      <c r="D206" t="s">
        <v>24</v>
      </c>
      <c r="E206">
        <v>148</v>
      </c>
      <c r="F206">
        <v>180</v>
      </c>
      <c r="G206">
        <v>82.22</v>
      </c>
      <c r="H206">
        <v>674684</v>
      </c>
      <c r="I206">
        <v>110658</v>
      </c>
      <c r="J206">
        <v>1090138</v>
      </c>
      <c r="K206">
        <v>1425330</v>
      </c>
      <c r="L206">
        <v>63</v>
      </c>
      <c r="M206" t="s">
        <v>18</v>
      </c>
      <c r="N206">
        <v>4.5999999999999996</v>
      </c>
    </row>
    <row r="207" spans="1:14" x14ac:dyDescent="0.35">
      <c r="A207" t="s">
        <v>396</v>
      </c>
      <c r="B207" t="s">
        <v>154</v>
      </c>
      <c r="C207" t="s">
        <v>16</v>
      </c>
      <c r="D207" t="s">
        <v>24</v>
      </c>
      <c r="E207">
        <v>154</v>
      </c>
      <c r="F207">
        <v>180</v>
      </c>
      <c r="G207">
        <v>85.56</v>
      </c>
      <c r="H207">
        <v>653812</v>
      </c>
      <c r="I207">
        <v>19580</v>
      </c>
      <c r="J207">
        <v>345318</v>
      </c>
      <c r="K207">
        <v>929485</v>
      </c>
      <c r="L207">
        <v>22</v>
      </c>
      <c r="M207" t="s">
        <v>18</v>
      </c>
      <c r="N207">
        <v>3.4</v>
      </c>
    </row>
    <row r="208" spans="1:14" x14ac:dyDescent="0.35">
      <c r="A208" t="s">
        <v>397</v>
      </c>
      <c r="B208" t="s">
        <v>398</v>
      </c>
      <c r="C208" t="s">
        <v>32</v>
      </c>
      <c r="D208" t="s">
        <v>24</v>
      </c>
      <c r="E208">
        <v>117</v>
      </c>
      <c r="F208">
        <v>180</v>
      </c>
      <c r="G208">
        <v>65</v>
      </c>
      <c r="H208">
        <v>966911</v>
      </c>
      <c r="I208">
        <v>25617</v>
      </c>
      <c r="J208">
        <v>395114</v>
      </c>
      <c r="K208">
        <v>650415</v>
      </c>
      <c r="L208">
        <v>33</v>
      </c>
      <c r="M208" t="s">
        <v>18</v>
      </c>
      <c r="N208">
        <v>4.0999999999999996</v>
      </c>
    </row>
    <row r="209" spans="1:14" x14ac:dyDescent="0.35">
      <c r="A209" t="s">
        <v>399</v>
      </c>
      <c r="B209" t="s">
        <v>400</v>
      </c>
      <c r="C209" t="s">
        <v>76</v>
      </c>
      <c r="D209" t="s">
        <v>43</v>
      </c>
      <c r="E209">
        <v>161</v>
      </c>
      <c r="F209">
        <v>232</v>
      </c>
      <c r="G209">
        <v>69.400000000000006</v>
      </c>
      <c r="H209">
        <v>963657</v>
      </c>
      <c r="I209">
        <v>60693</v>
      </c>
      <c r="J209">
        <v>1029400</v>
      </c>
      <c r="K209">
        <v>1616886</v>
      </c>
      <c r="L209">
        <v>25</v>
      </c>
      <c r="M209" t="s">
        <v>18</v>
      </c>
      <c r="N209">
        <v>4.5</v>
      </c>
    </row>
    <row r="210" spans="1:14" x14ac:dyDescent="0.35">
      <c r="A210" t="s">
        <v>401</v>
      </c>
      <c r="B210" t="s">
        <v>402</v>
      </c>
      <c r="C210" t="s">
        <v>59</v>
      </c>
      <c r="D210" t="s">
        <v>43</v>
      </c>
      <c r="E210">
        <v>145</v>
      </c>
      <c r="F210">
        <v>232</v>
      </c>
      <c r="G210">
        <v>62.5</v>
      </c>
      <c r="H210">
        <v>875584</v>
      </c>
      <c r="I210">
        <v>35026</v>
      </c>
      <c r="J210">
        <v>1178450</v>
      </c>
      <c r="K210">
        <v>1529169</v>
      </c>
      <c r="L210">
        <v>37</v>
      </c>
      <c r="M210" t="s">
        <v>18</v>
      </c>
      <c r="N210">
        <v>4.8</v>
      </c>
    </row>
    <row r="211" spans="1:14" x14ac:dyDescent="0.35">
      <c r="A211" t="s">
        <v>403</v>
      </c>
      <c r="B211" t="s">
        <v>404</v>
      </c>
      <c r="C211" t="s">
        <v>32</v>
      </c>
      <c r="D211" t="s">
        <v>43</v>
      </c>
      <c r="E211">
        <v>226</v>
      </c>
      <c r="F211">
        <v>232</v>
      </c>
      <c r="G211">
        <v>97.41</v>
      </c>
      <c r="H211">
        <v>836075</v>
      </c>
      <c r="I211">
        <v>27226</v>
      </c>
      <c r="J211">
        <v>1069055</v>
      </c>
      <c r="K211">
        <v>1675773</v>
      </c>
      <c r="L211">
        <v>68</v>
      </c>
      <c r="M211" t="s">
        <v>18</v>
      </c>
      <c r="N211">
        <v>3.4</v>
      </c>
    </row>
    <row r="212" spans="1:14" x14ac:dyDescent="0.35">
      <c r="A212" t="s">
        <v>405</v>
      </c>
      <c r="B212" t="s">
        <v>406</v>
      </c>
      <c r="C212" t="s">
        <v>32</v>
      </c>
      <c r="D212" t="s">
        <v>17</v>
      </c>
      <c r="E212">
        <v>67</v>
      </c>
      <c r="F212">
        <v>78</v>
      </c>
      <c r="G212">
        <v>85.9</v>
      </c>
      <c r="H212">
        <v>405156</v>
      </c>
      <c r="I212">
        <v>89897</v>
      </c>
      <c r="J212">
        <v>593837</v>
      </c>
      <c r="K212">
        <v>1256467</v>
      </c>
      <c r="L212">
        <v>88</v>
      </c>
      <c r="M212" t="s">
        <v>18</v>
      </c>
      <c r="N212">
        <v>4</v>
      </c>
    </row>
    <row r="213" spans="1:14" x14ac:dyDescent="0.35">
      <c r="A213" t="s">
        <v>407</v>
      </c>
      <c r="B213" t="s">
        <v>408</v>
      </c>
      <c r="C213" t="s">
        <v>76</v>
      </c>
      <c r="D213" t="s">
        <v>17</v>
      </c>
      <c r="E213">
        <v>71</v>
      </c>
      <c r="F213">
        <v>78</v>
      </c>
      <c r="G213">
        <v>91.03</v>
      </c>
      <c r="H213">
        <v>431986</v>
      </c>
      <c r="I213">
        <v>43535</v>
      </c>
      <c r="J213">
        <v>532565</v>
      </c>
      <c r="K213">
        <v>676952</v>
      </c>
      <c r="L213">
        <v>77</v>
      </c>
      <c r="M213" t="s">
        <v>18</v>
      </c>
      <c r="N213">
        <v>3.9</v>
      </c>
    </row>
    <row r="214" spans="1:14" x14ac:dyDescent="0.35">
      <c r="A214" t="s">
        <v>409</v>
      </c>
      <c r="B214" t="s">
        <v>257</v>
      </c>
      <c r="C214" t="s">
        <v>16</v>
      </c>
      <c r="D214" t="s">
        <v>24</v>
      </c>
      <c r="E214">
        <v>175</v>
      </c>
      <c r="F214">
        <v>180</v>
      </c>
      <c r="G214">
        <v>97.22</v>
      </c>
      <c r="H214">
        <v>1189988</v>
      </c>
      <c r="I214">
        <v>133994</v>
      </c>
      <c r="J214">
        <v>1113784</v>
      </c>
      <c r="K214">
        <v>1533774</v>
      </c>
      <c r="L214">
        <v>14</v>
      </c>
      <c r="M214" t="s">
        <v>33</v>
      </c>
      <c r="N214">
        <v>4.4000000000000004</v>
      </c>
    </row>
    <row r="215" spans="1:14" x14ac:dyDescent="0.35">
      <c r="A215" t="s">
        <v>410</v>
      </c>
      <c r="B215" t="s">
        <v>411</v>
      </c>
      <c r="C215" t="s">
        <v>29</v>
      </c>
      <c r="D215" t="s">
        <v>17</v>
      </c>
      <c r="E215">
        <v>61</v>
      </c>
      <c r="F215">
        <v>78</v>
      </c>
      <c r="G215">
        <v>78.209999999999994</v>
      </c>
      <c r="H215">
        <v>277967</v>
      </c>
      <c r="I215">
        <v>74234</v>
      </c>
      <c r="J215">
        <v>1134983</v>
      </c>
      <c r="K215">
        <v>1656122</v>
      </c>
      <c r="L215">
        <v>52</v>
      </c>
      <c r="M215" t="s">
        <v>18</v>
      </c>
      <c r="N215">
        <v>3.4</v>
      </c>
    </row>
    <row r="216" spans="1:14" x14ac:dyDescent="0.35">
      <c r="A216" t="s">
        <v>412</v>
      </c>
      <c r="B216" t="s">
        <v>413</v>
      </c>
      <c r="C216" t="s">
        <v>16</v>
      </c>
      <c r="D216" t="s">
        <v>24</v>
      </c>
      <c r="E216">
        <v>150</v>
      </c>
      <c r="F216">
        <v>180</v>
      </c>
      <c r="G216">
        <v>83.33</v>
      </c>
      <c r="H216">
        <v>559501</v>
      </c>
      <c r="I216">
        <v>74047</v>
      </c>
      <c r="J216">
        <v>631444</v>
      </c>
      <c r="K216">
        <v>1249738</v>
      </c>
      <c r="L216">
        <v>75</v>
      </c>
      <c r="M216" t="s">
        <v>18</v>
      </c>
      <c r="N216">
        <v>3.4</v>
      </c>
    </row>
    <row r="217" spans="1:14" x14ac:dyDescent="0.35">
      <c r="A217" t="s">
        <v>414</v>
      </c>
      <c r="B217" t="s">
        <v>362</v>
      </c>
      <c r="C217" t="s">
        <v>29</v>
      </c>
      <c r="D217" t="s">
        <v>17</v>
      </c>
      <c r="E217">
        <v>61</v>
      </c>
      <c r="F217">
        <v>78</v>
      </c>
      <c r="G217">
        <v>78.209999999999994</v>
      </c>
      <c r="H217">
        <v>460610</v>
      </c>
      <c r="I217">
        <v>45679</v>
      </c>
      <c r="J217">
        <v>1133361</v>
      </c>
      <c r="K217">
        <v>1397798</v>
      </c>
      <c r="L217">
        <v>52</v>
      </c>
      <c r="M217" t="s">
        <v>18</v>
      </c>
      <c r="N217">
        <v>4.5</v>
      </c>
    </row>
    <row r="218" spans="1:14" x14ac:dyDescent="0.35">
      <c r="A218" t="s">
        <v>415</v>
      </c>
      <c r="B218" t="s">
        <v>218</v>
      </c>
      <c r="C218" t="s">
        <v>117</v>
      </c>
      <c r="D218" t="s">
        <v>17</v>
      </c>
      <c r="E218">
        <v>53</v>
      </c>
      <c r="F218">
        <v>78</v>
      </c>
      <c r="G218">
        <v>67.95</v>
      </c>
      <c r="H218">
        <v>334064</v>
      </c>
      <c r="I218">
        <v>57638</v>
      </c>
      <c r="J218">
        <v>1120232</v>
      </c>
      <c r="K218">
        <v>1391975</v>
      </c>
      <c r="L218">
        <v>36</v>
      </c>
      <c r="M218" t="s">
        <v>18</v>
      </c>
      <c r="N218">
        <v>4.4000000000000004</v>
      </c>
    </row>
    <row r="219" spans="1:14" x14ac:dyDescent="0.35">
      <c r="A219" t="s">
        <v>416</v>
      </c>
      <c r="B219" t="s">
        <v>417</v>
      </c>
      <c r="C219" t="s">
        <v>59</v>
      </c>
      <c r="D219" t="s">
        <v>17</v>
      </c>
      <c r="E219">
        <v>70</v>
      </c>
      <c r="F219">
        <v>78</v>
      </c>
      <c r="G219">
        <v>89.74</v>
      </c>
      <c r="H219">
        <v>483802</v>
      </c>
      <c r="I219">
        <v>38235</v>
      </c>
      <c r="J219">
        <v>1116957</v>
      </c>
      <c r="K219">
        <v>1220890</v>
      </c>
      <c r="L219">
        <v>14</v>
      </c>
      <c r="M219" t="s">
        <v>33</v>
      </c>
      <c r="N219">
        <v>4.5</v>
      </c>
    </row>
    <row r="220" spans="1:14" x14ac:dyDescent="0.35">
      <c r="A220" t="s">
        <v>418</v>
      </c>
      <c r="B220" t="s">
        <v>298</v>
      </c>
      <c r="C220" t="s">
        <v>42</v>
      </c>
      <c r="D220" t="s">
        <v>17</v>
      </c>
      <c r="E220">
        <v>63</v>
      </c>
      <c r="F220">
        <v>78</v>
      </c>
      <c r="G220">
        <v>80.77</v>
      </c>
      <c r="H220">
        <v>546520</v>
      </c>
      <c r="I220">
        <v>86498</v>
      </c>
      <c r="J220">
        <v>1092831</v>
      </c>
      <c r="K220">
        <v>1328222</v>
      </c>
      <c r="L220">
        <v>88</v>
      </c>
      <c r="M220" t="s">
        <v>18</v>
      </c>
      <c r="N220">
        <v>4.5999999999999996</v>
      </c>
    </row>
    <row r="221" spans="1:14" x14ac:dyDescent="0.35">
      <c r="A221" t="s">
        <v>419</v>
      </c>
      <c r="B221" t="s">
        <v>420</v>
      </c>
      <c r="C221" t="s">
        <v>42</v>
      </c>
      <c r="D221" t="s">
        <v>24</v>
      </c>
      <c r="E221">
        <v>173</v>
      </c>
      <c r="F221">
        <v>180</v>
      </c>
      <c r="G221">
        <v>96.11</v>
      </c>
      <c r="H221">
        <v>1311164</v>
      </c>
      <c r="I221">
        <v>124657</v>
      </c>
      <c r="J221">
        <v>428215</v>
      </c>
      <c r="K221">
        <v>667806</v>
      </c>
      <c r="L221">
        <v>27</v>
      </c>
      <c r="M221" t="s">
        <v>18</v>
      </c>
      <c r="N221">
        <v>4.5999999999999996</v>
      </c>
    </row>
    <row r="222" spans="1:14" x14ac:dyDescent="0.35">
      <c r="A222" t="s">
        <v>421</v>
      </c>
      <c r="B222" t="s">
        <v>67</v>
      </c>
      <c r="C222" t="s">
        <v>21</v>
      </c>
      <c r="D222" t="s">
        <v>43</v>
      </c>
      <c r="E222">
        <v>166</v>
      </c>
      <c r="F222">
        <v>232</v>
      </c>
      <c r="G222">
        <v>71.55</v>
      </c>
      <c r="H222">
        <v>1217651</v>
      </c>
      <c r="I222">
        <v>123818</v>
      </c>
      <c r="J222">
        <v>908268</v>
      </c>
      <c r="K222">
        <v>1189655</v>
      </c>
      <c r="L222">
        <v>5</v>
      </c>
      <c r="M222" t="s">
        <v>33</v>
      </c>
      <c r="N222">
        <v>4.5</v>
      </c>
    </row>
    <row r="223" spans="1:14" x14ac:dyDescent="0.35">
      <c r="A223" t="s">
        <v>422</v>
      </c>
      <c r="B223" t="s">
        <v>350</v>
      </c>
      <c r="C223" t="s">
        <v>16</v>
      </c>
      <c r="D223" t="s">
        <v>17</v>
      </c>
      <c r="E223">
        <v>76</v>
      </c>
      <c r="F223">
        <v>78</v>
      </c>
      <c r="G223">
        <v>97.44</v>
      </c>
      <c r="H223">
        <v>373631</v>
      </c>
      <c r="I223">
        <v>63074</v>
      </c>
      <c r="J223">
        <v>846552</v>
      </c>
      <c r="K223">
        <v>1521108</v>
      </c>
      <c r="L223">
        <v>4</v>
      </c>
      <c r="M223" t="s">
        <v>33</v>
      </c>
      <c r="N223">
        <v>4.0999999999999996</v>
      </c>
    </row>
    <row r="224" spans="1:14" x14ac:dyDescent="0.35">
      <c r="A224" t="s">
        <v>423</v>
      </c>
      <c r="B224" t="s">
        <v>239</v>
      </c>
      <c r="C224" t="s">
        <v>76</v>
      </c>
      <c r="D224" t="s">
        <v>17</v>
      </c>
      <c r="E224">
        <v>57</v>
      </c>
      <c r="F224">
        <v>78</v>
      </c>
      <c r="G224">
        <v>73.08</v>
      </c>
      <c r="H224">
        <v>435495</v>
      </c>
      <c r="I224">
        <v>18103</v>
      </c>
      <c r="J224">
        <v>1062708</v>
      </c>
      <c r="K224">
        <v>1406105</v>
      </c>
      <c r="L224">
        <v>45</v>
      </c>
      <c r="M224" t="s">
        <v>18</v>
      </c>
      <c r="N224">
        <v>3.3</v>
      </c>
    </row>
    <row r="225" spans="1:14" x14ac:dyDescent="0.35">
      <c r="A225" t="s">
        <v>424</v>
      </c>
      <c r="B225" t="s">
        <v>86</v>
      </c>
      <c r="C225" t="s">
        <v>39</v>
      </c>
      <c r="D225" t="s">
        <v>17</v>
      </c>
      <c r="E225">
        <v>63</v>
      </c>
      <c r="F225">
        <v>78</v>
      </c>
      <c r="G225">
        <v>80.77</v>
      </c>
      <c r="H225">
        <v>506553</v>
      </c>
      <c r="I225">
        <v>72143</v>
      </c>
      <c r="J225">
        <v>348255</v>
      </c>
      <c r="K225">
        <v>815410</v>
      </c>
      <c r="L225">
        <v>6</v>
      </c>
      <c r="M225" t="s">
        <v>33</v>
      </c>
      <c r="N225">
        <v>4</v>
      </c>
    </row>
    <row r="226" spans="1:14" x14ac:dyDescent="0.35">
      <c r="A226" t="s">
        <v>425</v>
      </c>
      <c r="B226" t="s">
        <v>426</v>
      </c>
      <c r="C226" t="s">
        <v>16</v>
      </c>
      <c r="D226" t="s">
        <v>17</v>
      </c>
      <c r="E226">
        <v>71</v>
      </c>
      <c r="F226">
        <v>78</v>
      </c>
      <c r="G226">
        <v>91.03</v>
      </c>
      <c r="H226">
        <v>599343</v>
      </c>
      <c r="I226">
        <v>91790</v>
      </c>
      <c r="J226">
        <v>697034</v>
      </c>
      <c r="K226">
        <v>1351061</v>
      </c>
      <c r="L226">
        <v>51</v>
      </c>
      <c r="M226" t="s">
        <v>18</v>
      </c>
      <c r="N226">
        <v>4.0999999999999996</v>
      </c>
    </row>
    <row r="227" spans="1:14" x14ac:dyDescent="0.35">
      <c r="A227" t="s">
        <v>427</v>
      </c>
      <c r="B227" t="s">
        <v>428</v>
      </c>
      <c r="C227" t="s">
        <v>59</v>
      </c>
      <c r="D227" t="s">
        <v>24</v>
      </c>
      <c r="E227">
        <v>147</v>
      </c>
      <c r="F227">
        <v>180</v>
      </c>
      <c r="G227">
        <v>81.67</v>
      </c>
      <c r="H227">
        <v>1320405</v>
      </c>
      <c r="I227">
        <v>92538</v>
      </c>
      <c r="J227">
        <v>908113</v>
      </c>
      <c r="K227">
        <v>1225730</v>
      </c>
      <c r="L227">
        <v>89</v>
      </c>
      <c r="M227" t="s">
        <v>18</v>
      </c>
      <c r="N227">
        <v>4.8</v>
      </c>
    </row>
    <row r="228" spans="1:14" x14ac:dyDescent="0.35">
      <c r="A228" t="s">
        <v>429</v>
      </c>
      <c r="B228" t="s">
        <v>204</v>
      </c>
      <c r="C228" t="s">
        <v>32</v>
      </c>
      <c r="D228" t="s">
        <v>43</v>
      </c>
      <c r="E228">
        <v>143</v>
      </c>
      <c r="F228">
        <v>232</v>
      </c>
      <c r="G228">
        <v>61.64</v>
      </c>
      <c r="H228">
        <v>1007456</v>
      </c>
      <c r="I228">
        <v>114108</v>
      </c>
      <c r="J228">
        <v>901827</v>
      </c>
      <c r="K228">
        <v>1352087</v>
      </c>
      <c r="L228">
        <v>2</v>
      </c>
      <c r="M228" t="s">
        <v>33</v>
      </c>
      <c r="N228">
        <v>3.8</v>
      </c>
    </row>
    <row r="229" spans="1:14" x14ac:dyDescent="0.35">
      <c r="A229" t="s">
        <v>430</v>
      </c>
      <c r="B229" t="s">
        <v>431</v>
      </c>
      <c r="C229" t="s">
        <v>29</v>
      </c>
      <c r="D229" t="s">
        <v>43</v>
      </c>
      <c r="E229">
        <v>151</v>
      </c>
      <c r="F229">
        <v>232</v>
      </c>
      <c r="G229">
        <v>65.09</v>
      </c>
      <c r="H229">
        <v>1281600</v>
      </c>
      <c r="I229">
        <v>117962</v>
      </c>
      <c r="J229">
        <v>332847</v>
      </c>
      <c r="K229">
        <v>723871</v>
      </c>
      <c r="L229">
        <v>3</v>
      </c>
      <c r="M229" t="s">
        <v>33</v>
      </c>
      <c r="N229">
        <v>3.9</v>
      </c>
    </row>
    <row r="230" spans="1:14" x14ac:dyDescent="0.35">
      <c r="A230" t="s">
        <v>432</v>
      </c>
      <c r="B230" t="s">
        <v>173</v>
      </c>
      <c r="C230" t="s">
        <v>32</v>
      </c>
      <c r="D230" t="s">
        <v>24</v>
      </c>
      <c r="E230">
        <v>163</v>
      </c>
      <c r="F230">
        <v>180</v>
      </c>
      <c r="G230">
        <v>90.56</v>
      </c>
      <c r="H230">
        <v>1182532</v>
      </c>
      <c r="I230">
        <v>138360</v>
      </c>
      <c r="J230">
        <v>350500</v>
      </c>
      <c r="K230">
        <v>1002167</v>
      </c>
      <c r="L230">
        <v>76</v>
      </c>
      <c r="M230" t="s">
        <v>18</v>
      </c>
      <c r="N230">
        <v>3.5</v>
      </c>
    </row>
    <row r="231" spans="1:14" x14ac:dyDescent="0.35">
      <c r="A231" t="s">
        <v>433</v>
      </c>
      <c r="B231" t="s">
        <v>434</v>
      </c>
      <c r="C231" t="s">
        <v>16</v>
      </c>
      <c r="D231" t="s">
        <v>17</v>
      </c>
      <c r="E231">
        <v>66</v>
      </c>
      <c r="F231">
        <v>78</v>
      </c>
      <c r="G231">
        <v>84.62</v>
      </c>
      <c r="H231">
        <v>344064</v>
      </c>
      <c r="I231">
        <v>134722</v>
      </c>
      <c r="J231">
        <v>326058</v>
      </c>
      <c r="K231">
        <v>879984</v>
      </c>
      <c r="L231">
        <v>72</v>
      </c>
      <c r="M231" t="s">
        <v>18</v>
      </c>
      <c r="N231">
        <v>3.8</v>
      </c>
    </row>
    <row r="232" spans="1:14" x14ac:dyDescent="0.35">
      <c r="A232" t="s">
        <v>435</v>
      </c>
      <c r="B232" t="s">
        <v>49</v>
      </c>
      <c r="C232" t="s">
        <v>59</v>
      </c>
      <c r="D232" t="s">
        <v>17</v>
      </c>
      <c r="E232">
        <v>75</v>
      </c>
      <c r="F232">
        <v>78</v>
      </c>
      <c r="G232">
        <v>96.15</v>
      </c>
      <c r="H232">
        <v>645464</v>
      </c>
      <c r="I232">
        <v>42165</v>
      </c>
      <c r="J232">
        <v>904724</v>
      </c>
      <c r="K232">
        <v>1295850</v>
      </c>
      <c r="L232">
        <v>7</v>
      </c>
      <c r="M232" t="s">
        <v>33</v>
      </c>
      <c r="N232">
        <v>4.0999999999999996</v>
      </c>
    </row>
    <row r="233" spans="1:14" x14ac:dyDescent="0.35">
      <c r="A233" t="s">
        <v>436</v>
      </c>
      <c r="B233" t="s">
        <v>408</v>
      </c>
      <c r="C233" t="s">
        <v>21</v>
      </c>
      <c r="D233" t="s">
        <v>17</v>
      </c>
      <c r="E233">
        <v>52</v>
      </c>
      <c r="F233">
        <v>78</v>
      </c>
      <c r="G233">
        <v>66.67</v>
      </c>
      <c r="H233">
        <v>319314</v>
      </c>
      <c r="I233">
        <v>145115</v>
      </c>
      <c r="J233">
        <v>631949</v>
      </c>
      <c r="K233">
        <v>1166087</v>
      </c>
      <c r="L233">
        <v>44</v>
      </c>
      <c r="M233" t="s">
        <v>18</v>
      </c>
      <c r="N233">
        <v>4.0999999999999996</v>
      </c>
    </row>
    <row r="234" spans="1:14" x14ac:dyDescent="0.35">
      <c r="A234" t="s">
        <v>437</v>
      </c>
      <c r="B234" t="s">
        <v>438</v>
      </c>
      <c r="C234" t="s">
        <v>76</v>
      </c>
      <c r="D234" t="s">
        <v>43</v>
      </c>
      <c r="E234">
        <v>139</v>
      </c>
      <c r="F234">
        <v>232</v>
      </c>
      <c r="G234">
        <v>59.91</v>
      </c>
      <c r="H234">
        <v>589971</v>
      </c>
      <c r="I234">
        <v>149017</v>
      </c>
      <c r="J234">
        <v>450205</v>
      </c>
      <c r="K234">
        <v>1126795</v>
      </c>
      <c r="L234">
        <v>51</v>
      </c>
      <c r="M234" t="s">
        <v>18</v>
      </c>
      <c r="N234">
        <v>3.2</v>
      </c>
    </row>
    <row r="235" spans="1:14" x14ac:dyDescent="0.35">
      <c r="A235" t="s">
        <v>439</v>
      </c>
      <c r="B235" t="s">
        <v>440</v>
      </c>
      <c r="C235" t="s">
        <v>39</v>
      </c>
      <c r="D235" t="s">
        <v>43</v>
      </c>
      <c r="E235">
        <v>167</v>
      </c>
      <c r="F235">
        <v>232</v>
      </c>
      <c r="G235">
        <v>71.98</v>
      </c>
      <c r="H235">
        <v>996403</v>
      </c>
      <c r="I235">
        <v>87276</v>
      </c>
      <c r="J235">
        <v>1060329</v>
      </c>
      <c r="K235">
        <v>1257741</v>
      </c>
      <c r="L235">
        <v>88</v>
      </c>
      <c r="M235" t="s">
        <v>18</v>
      </c>
      <c r="N235">
        <v>4.7</v>
      </c>
    </row>
    <row r="236" spans="1:14" x14ac:dyDescent="0.35">
      <c r="A236" t="s">
        <v>441</v>
      </c>
      <c r="B236" t="s">
        <v>286</v>
      </c>
      <c r="C236" t="s">
        <v>32</v>
      </c>
      <c r="D236" t="s">
        <v>24</v>
      </c>
      <c r="E236">
        <v>145</v>
      </c>
      <c r="F236">
        <v>180</v>
      </c>
      <c r="G236">
        <v>80.56</v>
      </c>
      <c r="H236">
        <v>1229573</v>
      </c>
      <c r="I236">
        <v>107739</v>
      </c>
      <c r="J236">
        <v>1004016</v>
      </c>
      <c r="K236">
        <v>1589588</v>
      </c>
      <c r="L236">
        <v>5</v>
      </c>
      <c r="M236" t="s">
        <v>33</v>
      </c>
      <c r="N236">
        <v>4.0999999999999996</v>
      </c>
    </row>
    <row r="237" spans="1:14" x14ac:dyDescent="0.35">
      <c r="A237" t="s">
        <v>442</v>
      </c>
      <c r="B237" t="s">
        <v>382</v>
      </c>
      <c r="C237" t="s">
        <v>36</v>
      </c>
      <c r="D237" t="s">
        <v>24</v>
      </c>
      <c r="E237">
        <v>120</v>
      </c>
      <c r="F237">
        <v>180</v>
      </c>
      <c r="G237">
        <v>66.67</v>
      </c>
      <c r="H237">
        <v>665414</v>
      </c>
      <c r="I237">
        <v>93021</v>
      </c>
      <c r="J237">
        <v>1054501</v>
      </c>
      <c r="K237">
        <v>1714415</v>
      </c>
      <c r="L237">
        <v>72</v>
      </c>
      <c r="M237" t="s">
        <v>18</v>
      </c>
      <c r="N237">
        <v>4.4000000000000004</v>
      </c>
    </row>
    <row r="238" spans="1:14" x14ac:dyDescent="0.35">
      <c r="A238" t="s">
        <v>443</v>
      </c>
      <c r="B238" t="s">
        <v>143</v>
      </c>
      <c r="C238" t="s">
        <v>39</v>
      </c>
      <c r="D238" t="s">
        <v>24</v>
      </c>
      <c r="E238">
        <v>122</v>
      </c>
      <c r="F238">
        <v>180</v>
      </c>
      <c r="G238">
        <v>67.78</v>
      </c>
      <c r="H238">
        <v>967037</v>
      </c>
      <c r="I238">
        <v>82065</v>
      </c>
      <c r="J238">
        <v>556408</v>
      </c>
      <c r="K238">
        <v>760252</v>
      </c>
      <c r="L238">
        <v>41</v>
      </c>
      <c r="M238" t="s">
        <v>18</v>
      </c>
      <c r="N238">
        <v>4.4000000000000004</v>
      </c>
    </row>
    <row r="239" spans="1:14" x14ac:dyDescent="0.35">
      <c r="A239" t="s">
        <v>444</v>
      </c>
      <c r="B239" t="s">
        <v>280</v>
      </c>
      <c r="C239" t="s">
        <v>21</v>
      </c>
      <c r="D239" t="s">
        <v>17</v>
      </c>
      <c r="E239">
        <v>67</v>
      </c>
      <c r="F239">
        <v>78</v>
      </c>
      <c r="G239">
        <v>85.9</v>
      </c>
      <c r="H239">
        <v>325896</v>
      </c>
      <c r="I239">
        <v>99465</v>
      </c>
      <c r="J239">
        <v>1001117</v>
      </c>
      <c r="K239">
        <v>1688668</v>
      </c>
      <c r="L239">
        <v>75</v>
      </c>
      <c r="M239" t="s">
        <v>18</v>
      </c>
      <c r="N239">
        <v>4.3</v>
      </c>
    </row>
    <row r="240" spans="1:14" x14ac:dyDescent="0.35">
      <c r="A240" t="s">
        <v>445</v>
      </c>
      <c r="B240" t="s">
        <v>446</v>
      </c>
      <c r="C240" t="s">
        <v>59</v>
      </c>
      <c r="D240" t="s">
        <v>17</v>
      </c>
      <c r="E240">
        <v>52</v>
      </c>
      <c r="F240">
        <v>78</v>
      </c>
      <c r="G240">
        <v>66.67</v>
      </c>
      <c r="H240">
        <v>338551</v>
      </c>
      <c r="I240">
        <v>78586</v>
      </c>
      <c r="J240">
        <v>602967</v>
      </c>
      <c r="K240">
        <v>989725</v>
      </c>
      <c r="L240">
        <v>81</v>
      </c>
      <c r="M240" t="s">
        <v>18</v>
      </c>
      <c r="N240">
        <v>4.8</v>
      </c>
    </row>
    <row r="241" spans="1:14" x14ac:dyDescent="0.35">
      <c r="A241" t="s">
        <v>447</v>
      </c>
      <c r="B241" t="s">
        <v>448</v>
      </c>
      <c r="C241" t="s">
        <v>39</v>
      </c>
      <c r="D241" t="s">
        <v>17</v>
      </c>
      <c r="E241">
        <v>62</v>
      </c>
      <c r="F241">
        <v>78</v>
      </c>
      <c r="G241">
        <v>79.489999999999995</v>
      </c>
      <c r="H241">
        <v>488657</v>
      </c>
      <c r="I241">
        <v>82871</v>
      </c>
      <c r="J241">
        <v>818709</v>
      </c>
      <c r="K241">
        <v>1238336</v>
      </c>
      <c r="L241">
        <v>50</v>
      </c>
      <c r="M241" t="s">
        <v>18</v>
      </c>
      <c r="N241">
        <v>4.5</v>
      </c>
    </row>
    <row r="242" spans="1:14" x14ac:dyDescent="0.35">
      <c r="A242" t="s">
        <v>449</v>
      </c>
      <c r="B242" t="s">
        <v>450</v>
      </c>
      <c r="C242" t="s">
        <v>16</v>
      </c>
      <c r="D242" t="s">
        <v>43</v>
      </c>
      <c r="E242">
        <v>179</v>
      </c>
      <c r="F242">
        <v>232</v>
      </c>
      <c r="G242">
        <v>77.16</v>
      </c>
      <c r="H242">
        <v>1251121</v>
      </c>
      <c r="I242">
        <v>128467</v>
      </c>
      <c r="J242">
        <v>480826</v>
      </c>
      <c r="K242">
        <v>1095157</v>
      </c>
      <c r="L242">
        <v>72</v>
      </c>
      <c r="M242" t="s">
        <v>18</v>
      </c>
      <c r="N242">
        <v>3.5</v>
      </c>
    </row>
    <row r="243" spans="1:14" x14ac:dyDescent="0.35">
      <c r="A243" t="s">
        <v>451</v>
      </c>
      <c r="B243" t="s">
        <v>452</v>
      </c>
      <c r="C243" t="s">
        <v>29</v>
      </c>
      <c r="D243" t="s">
        <v>17</v>
      </c>
      <c r="E243">
        <v>65</v>
      </c>
      <c r="F243">
        <v>78</v>
      </c>
      <c r="G243">
        <v>83.33</v>
      </c>
      <c r="H243">
        <v>409387</v>
      </c>
      <c r="I243">
        <v>19628</v>
      </c>
      <c r="J243">
        <v>720045</v>
      </c>
      <c r="K243">
        <v>986026</v>
      </c>
      <c r="L243">
        <v>47</v>
      </c>
      <c r="M243" t="s">
        <v>18</v>
      </c>
      <c r="N243">
        <v>4.5</v>
      </c>
    </row>
    <row r="244" spans="1:14" x14ac:dyDescent="0.35">
      <c r="A244" t="s">
        <v>453</v>
      </c>
      <c r="B244" t="s">
        <v>454</v>
      </c>
      <c r="C244" t="s">
        <v>39</v>
      </c>
      <c r="D244" t="s">
        <v>43</v>
      </c>
      <c r="E244">
        <v>181</v>
      </c>
      <c r="F244">
        <v>232</v>
      </c>
      <c r="G244">
        <v>78.02</v>
      </c>
      <c r="H244">
        <v>813802</v>
      </c>
      <c r="I244">
        <v>51819</v>
      </c>
      <c r="J244">
        <v>637439</v>
      </c>
      <c r="K244">
        <v>1216531</v>
      </c>
      <c r="L244">
        <v>47</v>
      </c>
      <c r="M244" t="s">
        <v>18</v>
      </c>
      <c r="N244">
        <v>4.3</v>
      </c>
    </row>
    <row r="245" spans="1:14" x14ac:dyDescent="0.35">
      <c r="A245" t="s">
        <v>455</v>
      </c>
      <c r="B245" t="s">
        <v>80</v>
      </c>
      <c r="C245" t="s">
        <v>29</v>
      </c>
      <c r="D245" t="s">
        <v>17</v>
      </c>
      <c r="E245">
        <v>72</v>
      </c>
      <c r="F245">
        <v>78</v>
      </c>
      <c r="G245">
        <v>92.31</v>
      </c>
      <c r="H245">
        <v>588813</v>
      </c>
      <c r="I245">
        <v>136347</v>
      </c>
      <c r="J245">
        <v>900159</v>
      </c>
      <c r="K245">
        <v>1296737</v>
      </c>
      <c r="L245">
        <v>0</v>
      </c>
      <c r="M245" t="s">
        <v>33</v>
      </c>
      <c r="N245">
        <v>3.8</v>
      </c>
    </row>
    <row r="246" spans="1:14" x14ac:dyDescent="0.35">
      <c r="A246" t="s">
        <v>456</v>
      </c>
      <c r="B246" t="s">
        <v>457</v>
      </c>
      <c r="C246" t="s">
        <v>21</v>
      </c>
      <c r="D246" t="s">
        <v>17</v>
      </c>
      <c r="E246">
        <v>69</v>
      </c>
      <c r="F246">
        <v>78</v>
      </c>
      <c r="G246">
        <v>88.46</v>
      </c>
      <c r="H246">
        <v>324469</v>
      </c>
      <c r="I246">
        <v>149735</v>
      </c>
      <c r="J246">
        <v>303403</v>
      </c>
      <c r="K246">
        <v>468548</v>
      </c>
      <c r="L246">
        <v>30</v>
      </c>
      <c r="M246" t="s">
        <v>18</v>
      </c>
      <c r="N246">
        <v>3.5</v>
      </c>
    </row>
    <row r="247" spans="1:14" x14ac:dyDescent="0.35">
      <c r="A247" t="s">
        <v>458</v>
      </c>
      <c r="B247" t="s">
        <v>459</v>
      </c>
      <c r="C247" t="s">
        <v>59</v>
      </c>
      <c r="D247" t="s">
        <v>43</v>
      </c>
      <c r="E247">
        <v>198</v>
      </c>
      <c r="F247">
        <v>232</v>
      </c>
      <c r="G247">
        <v>85.34</v>
      </c>
      <c r="H247">
        <v>1568965</v>
      </c>
      <c r="I247">
        <v>146514</v>
      </c>
      <c r="J247">
        <v>746880</v>
      </c>
      <c r="K247">
        <v>1421521</v>
      </c>
      <c r="L247">
        <v>32</v>
      </c>
      <c r="M247" t="s">
        <v>18</v>
      </c>
      <c r="N247">
        <v>4</v>
      </c>
    </row>
    <row r="248" spans="1:14" x14ac:dyDescent="0.35">
      <c r="A248" t="s">
        <v>460</v>
      </c>
      <c r="B248" t="s">
        <v>461</v>
      </c>
      <c r="C248" t="s">
        <v>117</v>
      </c>
      <c r="D248" t="s">
        <v>24</v>
      </c>
      <c r="E248">
        <v>156</v>
      </c>
      <c r="F248">
        <v>180</v>
      </c>
      <c r="G248">
        <v>86.67</v>
      </c>
      <c r="H248">
        <v>1057191</v>
      </c>
      <c r="I248">
        <v>21501</v>
      </c>
      <c r="J248">
        <v>558525</v>
      </c>
      <c r="K248">
        <v>1053911</v>
      </c>
      <c r="L248">
        <v>48</v>
      </c>
      <c r="M248" t="s">
        <v>18</v>
      </c>
      <c r="N248">
        <v>3.7</v>
      </c>
    </row>
    <row r="249" spans="1:14" x14ac:dyDescent="0.35">
      <c r="A249" t="s">
        <v>462</v>
      </c>
      <c r="B249" t="s">
        <v>80</v>
      </c>
      <c r="C249" t="s">
        <v>59</v>
      </c>
      <c r="D249" t="s">
        <v>43</v>
      </c>
      <c r="E249">
        <v>162</v>
      </c>
      <c r="F249">
        <v>232</v>
      </c>
      <c r="G249">
        <v>69.83</v>
      </c>
      <c r="H249">
        <v>1332064</v>
      </c>
      <c r="I249">
        <v>66467</v>
      </c>
      <c r="J249">
        <v>1071424</v>
      </c>
      <c r="K249">
        <v>1621827</v>
      </c>
      <c r="L249">
        <v>40</v>
      </c>
      <c r="M249" t="s">
        <v>18</v>
      </c>
      <c r="N249">
        <v>4.4000000000000004</v>
      </c>
    </row>
    <row r="250" spans="1:14" x14ac:dyDescent="0.35">
      <c r="A250" t="s">
        <v>463</v>
      </c>
      <c r="B250" t="s">
        <v>342</v>
      </c>
      <c r="C250" t="s">
        <v>32</v>
      </c>
      <c r="D250" t="s">
        <v>43</v>
      </c>
      <c r="E250">
        <v>155</v>
      </c>
      <c r="F250">
        <v>232</v>
      </c>
      <c r="G250">
        <v>66.81</v>
      </c>
      <c r="H250">
        <v>1049176</v>
      </c>
      <c r="I250">
        <v>46337</v>
      </c>
      <c r="J250">
        <v>306520</v>
      </c>
      <c r="K250">
        <v>643512</v>
      </c>
      <c r="L250">
        <v>55</v>
      </c>
      <c r="M250" t="s">
        <v>18</v>
      </c>
      <c r="N250">
        <v>3.3</v>
      </c>
    </row>
    <row r="251" spans="1:14" x14ac:dyDescent="0.35">
      <c r="A251" t="s">
        <v>464</v>
      </c>
      <c r="B251" t="s">
        <v>26</v>
      </c>
      <c r="C251" t="s">
        <v>21</v>
      </c>
      <c r="D251" t="s">
        <v>24</v>
      </c>
      <c r="E251">
        <v>173</v>
      </c>
      <c r="F251">
        <v>180</v>
      </c>
      <c r="G251">
        <v>96.11</v>
      </c>
      <c r="H251">
        <v>1382241</v>
      </c>
      <c r="I251">
        <v>128409</v>
      </c>
      <c r="J251">
        <v>947505</v>
      </c>
      <c r="K251">
        <v>1381437</v>
      </c>
      <c r="L251">
        <v>67</v>
      </c>
      <c r="M251" t="s">
        <v>18</v>
      </c>
      <c r="N251">
        <v>4.2</v>
      </c>
    </row>
    <row r="252" spans="1:14" x14ac:dyDescent="0.35">
      <c r="A252" t="s">
        <v>465</v>
      </c>
      <c r="B252" t="s">
        <v>466</v>
      </c>
      <c r="C252" t="s">
        <v>39</v>
      </c>
      <c r="D252" t="s">
        <v>17</v>
      </c>
      <c r="E252">
        <v>73</v>
      </c>
      <c r="F252">
        <v>78</v>
      </c>
      <c r="G252">
        <v>93.59</v>
      </c>
      <c r="H252">
        <v>534790</v>
      </c>
      <c r="I252">
        <v>64804</v>
      </c>
      <c r="J252">
        <v>529133</v>
      </c>
      <c r="K252">
        <v>873298</v>
      </c>
      <c r="L252">
        <v>3</v>
      </c>
      <c r="M252" t="s">
        <v>33</v>
      </c>
      <c r="N252">
        <v>4.3</v>
      </c>
    </row>
    <row r="253" spans="1:14" x14ac:dyDescent="0.35">
      <c r="A253" t="s">
        <v>467</v>
      </c>
      <c r="B253" t="s">
        <v>215</v>
      </c>
      <c r="C253" t="s">
        <v>32</v>
      </c>
      <c r="D253" t="s">
        <v>43</v>
      </c>
      <c r="E253">
        <v>178</v>
      </c>
      <c r="F253">
        <v>232</v>
      </c>
      <c r="G253">
        <v>76.72</v>
      </c>
      <c r="H253">
        <v>1155460</v>
      </c>
      <c r="I253">
        <v>26375</v>
      </c>
      <c r="J253">
        <v>362562</v>
      </c>
      <c r="K253">
        <v>769174</v>
      </c>
      <c r="L253">
        <v>41</v>
      </c>
      <c r="M253" t="s">
        <v>18</v>
      </c>
      <c r="N253">
        <v>4.4000000000000004</v>
      </c>
    </row>
    <row r="254" spans="1:14" x14ac:dyDescent="0.35">
      <c r="A254" t="s">
        <v>468</v>
      </c>
      <c r="B254" t="s">
        <v>469</v>
      </c>
      <c r="C254" t="s">
        <v>39</v>
      </c>
      <c r="D254" t="s">
        <v>24</v>
      </c>
      <c r="E254">
        <v>118</v>
      </c>
      <c r="F254">
        <v>180</v>
      </c>
      <c r="G254">
        <v>65.56</v>
      </c>
      <c r="H254">
        <v>885870</v>
      </c>
      <c r="I254">
        <v>80546</v>
      </c>
      <c r="J254">
        <v>654042</v>
      </c>
      <c r="K254">
        <v>1142911</v>
      </c>
      <c r="L254">
        <v>58</v>
      </c>
      <c r="M254" t="s">
        <v>18</v>
      </c>
      <c r="N254">
        <v>4.5</v>
      </c>
    </row>
    <row r="255" spans="1:14" x14ac:dyDescent="0.35">
      <c r="A255" t="s">
        <v>470</v>
      </c>
      <c r="B255" t="s">
        <v>23</v>
      </c>
      <c r="C255" t="s">
        <v>76</v>
      </c>
      <c r="D255" t="s">
        <v>43</v>
      </c>
      <c r="E255">
        <v>149</v>
      </c>
      <c r="F255">
        <v>232</v>
      </c>
      <c r="G255">
        <v>64.22</v>
      </c>
      <c r="H255">
        <v>1201663</v>
      </c>
      <c r="I255">
        <v>118440</v>
      </c>
      <c r="J255">
        <v>666084</v>
      </c>
      <c r="K255">
        <v>878629</v>
      </c>
      <c r="L255">
        <v>88</v>
      </c>
      <c r="M255" t="s">
        <v>18</v>
      </c>
      <c r="N255">
        <v>3.3</v>
      </c>
    </row>
    <row r="256" spans="1:14" x14ac:dyDescent="0.35">
      <c r="A256" t="s">
        <v>471</v>
      </c>
      <c r="B256" t="s">
        <v>239</v>
      </c>
      <c r="C256" t="s">
        <v>29</v>
      </c>
      <c r="D256" t="s">
        <v>24</v>
      </c>
      <c r="E256">
        <v>159</v>
      </c>
      <c r="F256">
        <v>180</v>
      </c>
      <c r="G256">
        <v>88.33</v>
      </c>
      <c r="H256">
        <v>1241756</v>
      </c>
      <c r="I256">
        <v>105745</v>
      </c>
      <c r="J256">
        <v>813635</v>
      </c>
      <c r="K256">
        <v>1049487</v>
      </c>
      <c r="L256">
        <v>85</v>
      </c>
      <c r="M256" t="s">
        <v>18</v>
      </c>
      <c r="N256">
        <v>4.5</v>
      </c>
    </row>
    <row r="257" spans="1:14" x14ac:dyDescent="0.35">
      <c r="A257" t="s">
        <v>472</v>
      </c>
      <c r="B257" t="s">
        <v>473</v>
      </c>
      <c r="C257" t="s">
        <v>39</v>
      </c>
      <c r="D257" t="s">
        <v>43</v>
      </c>
      <c r="E257">
        <v>221</v>
      </c>
      <c r="F257">
        <v>232</v>
      </c>
      <c r="G257">
        <v>95.26</v>
      </c>
      <c r="H257">
        <v>1324525</v>
      </c>
      <c r="I257">
        <v>47232</v>
      </c>
      <c r="J257">
        <v>1044060</v>
      </c>
      <c r="K257">
        <v>1640058</v>
      </c>
      <c r="L257">
        <v>55</v>
      </c>
      <c r="M257" t="s">
        <v>18</v>
      </c>
      <c r="N257">
        <v>4</v>
      </c>
    </row>
    <row r="258" spans="1:14" x14ac:dyDescent="0.35">
      <c r="A258" t="s">
        <v>474</v>
      </c>
      <c r="B258" t="s">
        <v>475</v>
      </c>
      <c r="C258" t="s">
        <v>42</v>
      </c>
      <c r="D258" t="s">
        <v>24</v>
      </c>
      <c r="E258">
        <v>116</v>
      </c>
      <c r="F258">
        <v>180</v>
      </c>
      <c r="G258">
        <v>64.44</v>
      </c>
      <c r="H258">
        <v>804576</v>
      </c>
      <c r="I258">
        <v>77762</v>
      </c>
      <c r="J258">
        <v>288476</v>
      </c>
      <c r="K258">
        <v>965776</v>
      </c>
      <c r="L258">
        <v>7</v>
      </c>
      <c r="M258" t="s">
        <v>33</v>
      </c>
      <c r="N258">
        <v>3.5</v>
      </c>
    </row>
    <row r="259" spans="1:14" x14ac:dyDescent="0.35">
      <c r="A259" t="s">
        <v>476</v>
      </c>
      <c r="B259" t="s">
        <v>389</v>
      </c>
      <c r="C259" t="s">
        <v>76</v>
      </c>
      <c r="D259" t="s">
        <v>17</v>
      </c>
      <c r="E259">
        <v>47</v>
      </c>
      <c r="F259">
        <v>78</v>
      </c>
      <c r="G259">
        <v>60.26</v>
      </c>
      <c r="H259">
        <v>311300</v>
      </c>
      <c r="I259">
        <v>61731</v>
      </c>
      <c r="J259">
        <v>843997</v>
      </c>
      <c r="K259">
        <v>1291607</v>
      </c>
      <c r="L259">
        <v>69</v>
      </c>
      <c r="M259" t="s">
        <v>18</v>
      </c>
      <c r="N259">
        <v>4.5</v>
      </c>
    </row>
    <row r="260" spans="1:14" x14ac:dyDescent="0.35">
      <c r="A260" t="s">
        <v>477</v>
      </c>
      <c r="B260" t="s">
        <v>143</v>
      </c>
      <c r="C260" t="s">
        <v>29</v>
      </c>
      <c r="D260" t="s">
        <v>43</v>
      </c>
      <c r="E260">
        <v>173</v>
      </c>
      <c r="F260">
        <v>232</v>
      </c>
      <c r="G260">
        <v>74.569999999999993</v>
      </c>
      <c r="H260">
        <v>1394145</v>
      </c>
      <c r="I260">
        <v>107770</v>
      </c>
      <c r="J260">
        <v>551857</v>
      </c>
      <c r="K260">
        <v>832083</v>
      </c>
      <c r="L260">
        <v>46</v>
      </c>
      <c r="M260" t="s">
        <v>18</v>
      </c>
      <c r="N260">
        <v>4.5</v>
      </c>
    </row>
    <row r="261" spans="1:14" x14ac:dyDescent="0.35">
      <c r="A261" t="s">
        <v>478</v>
      </c>
      <c r="B261" t="s">
        <v>295</v>
      </c>
      <c r="C261" t="s">
        <v>42</v>
      </c>
      <c r="D261" t="s">
        <v>17</v>
      </c>
      <c r="E261">
        <v>69</v>
      </c>
      <c r="F261">
        <v>78</v>
      </c>
      <c r="G261">
        <v>88.46</v>
      </c>
      <c r="H261">
        <v>505599</v>
      </c>
      <c r="I261">
        <v>137953</v>
      </c>
      <c r="J261">
        <v>327713</v>
      </c>
      <c r="K261">
        <v>695011</v>
      </c>
      <c r="L261">
        <v>58</v>
      </c>
      <c r="M261" t="s">
        <v>18</v>
      </c>
      <c r="N261">
        <v>3.3</v>
      </c>
    </row>
    <row r="262" spans="1:14" x14ac:dyDescent="0.35">
      <c r="A262" t="s">
        <v>479</v>
      </c>
      <c r="B262" t="s">
        <v>293</v>
      </c>
      <c r="C262" t="s">
        <v>16</v>
      </c>
      <c r="D262" t="s">
        <v>17</v>
      </c>
      <c r="E262">
        <v>76</v>
      </c>
      <c r="F262">
        <v>78</v>
      </c>
      <c r="G262">
        <v>97.44</v>
      </c>
      <c r="H262">
        <v>349472</v>
      </c>
      <c r="I262">
        <v>25879</v>
      </c>
      <c r="J262">
        <v>915770</v>
      </c>
      <c r="K262">
        <v>1533156</v>
      </c>
      <c r="L262">
        <v>67</v>
      </c>
      <c r="M262" t="s">
        <v>18</v>
      </c>
      <c r="N262">
        <v>3.7</v>
      </c>
    </row>
    <row r="263" spans="1:14" x14ac:dyDescent="0.35">
      <c r="A263" t="s">
        <v>480</v>
      </c>
      <c r="B263" t="s">
        <v>86</v>
      </c>
      <c r="C263" t="s">
        <v>117</v>
      </c>
      <c r="D263" t="s">
        <v>43</v>
      </c>
      <c r="E263">
        <v>142</v>
      </c>
      <c r="F263">
        <v>232</v>
      </c>
      <c r="G263">
        <v>61.21</v>
      </c>
      <c r="H263">
        <v>1259055</v>
      </c>
      <c r="I263">
        <v>40817</v>
      </c>
      <c r="J263">
        <v>824078</v>
      </c>
      <c r="K263">
        <v>926613</v>
      </c>
      <c r="L263">
        <v>17</v>
      </c>
      <c r="M263" t="s">
        <v>18</v>
      </c>
      <c r="N263">
        <v>3.3</v>
      </c>
    </row>
    <row r="264" spans="1:14" x14ac:dyDescent="0.35">
      <c r="A264" t="s">
        <v>481</v>
      </c>
      <c r="B264" t="s">
        <v>45</v>
      </c>
      <c r="C264" t="s">
        <v>59</v>
      </c>
      <c r="D264" t="s">
        <v>17</v>
      </c>
      <c r="E264">
        <v>58</v>
      </c>
      <c r="F264">
        <v>78</v>
      </c>
      <c r="G264">
        <v>74.36</v>
      </c>
      <c r="H264">
        <v>332816</v>
      </c>
      <c r="I264">
        <v>16309</v>
      </c>
      <c r="J264">
        <v>603828</v>
      </c>
      <c r="K264">
        <v>1131237</v>
      </c>
      <c r="L264">
        <v>84</v>
      </c>
      <c r="M264" t="s">
        <v>18</v>
      </c>
      <c r="N264">
        <v>3.5</v>
      </c>
    </row>
    <row r="265" spans="1:14" x14ac:dyDescent="0.35">
      <c r="A265" t="s">
        <v>482</v>
      </c>
      <c r="B265" t="s">
        <v>310</v>
      </c>
      <c r="C265" t="s">
        <v>59</v>
      </c>
      <c r="D265" t="s">
        <v>17</v>
      </c>
      <c r="E265">
        <v>70</v>
      </c>
      <c r="F265">
        <v>78</v>
      </c>
      <c r="G265">
        <v>89.74</v>
      </c>
      <c r="H265">
        <v>628029</v>
      </c>
      <c r="I265">
        <v>94779</v>
      </c>
      <c r="J265">
        <v>463260</v>
      </c>
      <c r="K265">
        <v>1115340</v>
      </c>
      <c r="L265">
        <v>89</v>
      </c>
      <c r="M265" t="s">
        <v>18</v>
      </c>
      <c r="N265">
        <v>4.3</v>
      </c>
    </row>
    <row r="266" spans="1:14" x14ac:dyDescent="0.35">
      <c r="A266" t="s">
        <v>483</v>
      </c>
      <c r="B266" t="s">
        <v>266</v>
      </c>
      <c r="C266" t="s">
        <v>36</v>
      </c>
      <c r="D266" t="s">
        <v>43</v>
      </c>
      <c r="E266">
        <v>182</v>
      </c>
      <c r="F266">
        <v>232</v>
      </c>
      <c r="G266">
        <v>78.45</v>
      </c>
      <c r="H266">
        <v>1178080</v>
      </c>
      <c r="I266">
        <v>147752</v>
      </c>
      <c r="J266">
        <v>1187805</v>
      </c>
      <c r="K266">
        <v>1559283</v>
      </c>
      <c r="L266">
        <v>29</v>
      </c>
      <c r="M266" t="s">
        <v>18</v>
      </c>
      <c r="N266">
        <v>3.7</v>
      </c>
    </row>
    <row r="267" spans="1:14" x14ac:dyDescent="0.35">
      <c r="A267" t="s">
        <v>484</v>
      </c>
      <c r="B267" t="s">
        <v>485</v>
      </c>
      <c r="C267" t="s">
        <v>16</v>
      </c>
      <c r="D267" t="s">
        <v>43</v>
      </c>
      <c r="E267">
        <v>151</v>
      </c>
      <c r="F267">
        <v>232</v>
      </c>
      <c r="G267">
        <v>65.09</v>
      </c>
      <c r="H267">
        <v>1268041</v>
      </c>
      <c r="I267">
        <v>51866</v>
      </c>
      <c r="J267">
        <v>874616</v>
      </c>
      <c r="K267">
        <v>1390461</v>
      </c>
      <c r="L267">
        <v>85</v>
      </c>
      <c r="M267" t="s">
        <v>18</v>
      </c>
      <c r="N267">
        <v>4.5</v>
      </c>
    </row>
    <row r="268" spans="1:14" x14ac:dyDescent="0.35">
      <c r="A268" t="s">
        <v>486</v>
      </c>
      <c r="B268" t="s">
        <v>487</v>
      </c>
      <c r="C268" t="s">
        <v>39</v>
      </c>
      <c r="D268" t="s">
        <v>43</v>
      </c>
      <c r="E268">
        <v>167</v>
      </c>
      <c r="F268">
        <v>232</v>
      </c>
      <c r="G268">
        <v>71.98</v>
      </c>
      <c r="H268">
        <v>1197189</v>
      </c>
      <c r="I268">
        <v>38876</v>
      </c>
      <c r="J268">
        <v>417509</v>
      </c>
      <c r="K268">
        <v>840536</v>
      </c>
      <c r="L268">
        <v>43</v>
      </c>
      <c r="M268" t="s">
        <v>18</v>
      </c>
      <c r="N268">
        <v>3.5</v>
      </c>
    </row>
    <row r="269" spans="1:14" x14ac:dyDescent="0.35">
      <c r="A269" t="s">
        <v>488</v>
      </c>
      <c r="B269" t="s">
        <v>489</v>
      </c>
      <c r="C269" t="s">
        <v>59</v>
      </c>
      <c r="D269" t="s">
        <v>17</v>
      </c>
      <c r="E269">
        <v>67</v>
      </c>
      <c r="F269">
        <v>78</v>
      </c>
      <c r="G269">
        <v>85.9</v>
      </c>
      <c r="H269">
        <v>240651</v>
      </c>
      <c r="I269">
        <v>144865</v>
      </c>
      <c r="J269">
        <v>671914</v>
      </c>
      <c r="K269">
        <v>839483</v>
      </c>
      <c r="L269">
        <v>66</v>
      </c>
      <c r="M269" t="s">
        <v>18</v>
      </c>
      <c r="N269">
        <v>3.5</v>
      </c>
    </row>
    <row r="270" spans="1:14" x14ac:dyDescent="0.35">
      <c r="A270" t="s">
        <v>490</v>
      </c>
      <c r="B270" t="s">
        <v>278</v>
      </c>
      <c r="C270" t="s">
        <v>76</v>
      </c>
      <c r="D270" t="s">
        <v>43</v>
      </c>
      <c r="E270">
        <v>163</v>
      </c>
      <c r="F270">
        <v>232</v>
      </c>
      <c r="G270">
        <v>70.260000000000005</v>
      </c>
      <c r="H270">
        <v>733071</v>
      </c>
      <c r="I270">
        <v>112380</v>
      </c>
      <c r="J270">
        <v>642384</v>
      </c>
      <c r="K270">
        <v>933289</v>
      </c>
      <c r="L270">
        <v>66</v>
      </c>
      <c r="M270" t="s">
        <v>18</v>
      </c>
      <c r="N270">
        <v>4</v>
      </c>
    </row>
    <row r="271" spans="1:14" x14ac:dyDescent="0.35">
      <c r="A271" t="s">
        <v>491</v>
      </c>
      <c r="B271" t="s">
        <v>395</v>
      </c>
      <c r="C271" t="s">
        <v>59</v>
      </c>
      <c r="D271" t="s">
        <v>24</v>
      </c>
      <c r="E271">
        <v>156</v>
      </c>
      <c r="F271">
        <v>180</v>
      </c>
      <c r="G271">
        <v>86.67</v>
      </c>
      <c r="H271">
        <v>975709</v>
      </c>
      <c r="I271">
        <v>54438</v>
      </c>
      <c r="J271">
        <v>1080782</v>
      </c>
      <c r="K271">
        <v>1646677</v>
      </c>
      <c r="L271">
        <v>4</v>
      </c>
      <c r="M271" t="s">
        <v>33</v>
      </c>
      <c r="N271">
        <v>3.9</v>
      </c>
    </row>
    <row r="272" spans="1:14" x14ac:dyDescent="0.35">
      <c r="A272" t="s">
        <v>492</v>
      </c>
      <c r="B272" t="s">
        <v>224</v>
      </c>
      <c r="C272" t="s">
        <v>21</v>
      </c>
      <c r="D272" t="s">
        <v>17</v>
      </c>
      <c r="E272">
        <v>65</v>
      </c>
      <c r="F272">
        <v>78</v>
      </c>
      <c r="G272">
        <v>83.33</v>
      </c>
      <c r="H272">
        <v>444433</v>
      </c>
      <c r="I272">
        <v>88479</v>
      </c>
      <c r="J272">
        <v>281253</v>
      </c>
      <c r="K272">
        <v>734016</v>
      </c>
      <c r="L272">
        <v>60</v>
      </c>
      <c r="M272" t="s">
        <v>18</v>
      </c>
      <c r="N272">
        <v>3.7</v>
      </c>
    </row>
    <row r="273" spans="1:14" x14ac:dyDescent="0.35">
      <c r="A273" t="s">
        <v>493</v>
      </c>
      <c r="B273" t="s">
        <v>494</v>
      </c>
      <c r="C273" t="s">
        <v>36</v>
      </c>
      <c r="D273" t="s">
        <v>17</v>
      </c>
      <c r="E273">
        <v>74</v>
      </c>
      <c r="F273">
        <v>78</v>
      </c>
      <c r="G273">
        <v>94.87</v>
      </c>
      <c r="H273">
        <v>270257</v>
      </c>
      <c r="I273">
        <v>41905</v>
      </c>
      <c r="J273">
        <v>991750</v>
      </c>
      <c r="K273">
        <v>1111934</v>
      </c>
      <c r="L273">
        <v>86</v>
      </c>
      <c r="M273" t="s">
        <v>18</v>
      </c>
      <c r="N273">
        <v>4</v>
      </c>
    </row>
    <row r="274" spans="1:14" x14ac:dyDescent="0.35">
      <c r="A274" t="s">
        <v>495</v>
      </c>
      <c r="B274" t="s">
        <v>496</v>
      </c>
      <c r="C274" t="s">
        <v>42</v>
      </c>
      <c r="D274" t="s">
        <v>17</v>
      </c>
      <c r="E274">
        <v>63</v>
      </c>
      <c r="F274">
        <v>78</v>
      </c>
      <c r="G274">
        <v>80.77</v>
      </c>
      <c r="H274">
        <v>233175</v>
      </c>
      <c r="I274">
        <v>81023</v>
      </c>
      <c r="J274">
        <v>899195</v>
      </c>
      <c r="K274">
        <v>1131866</v>
      </c>
      <c r="L274">
        <v>66</v>
      </c>
      <c r="M274" t="s">
        <v>18</v>
      </c>
      <c r="N274">
        <v>3.6</v>
      </c>
    </row>
    <row r="275" spans="1:14" x14ac:dyDescent="0.35">
      <c r="A275" t="s">
        <v>497</v>
      </c>
      <c r="B275" t="s">
        <v>45</v>
      </c>
      <c r="C275" t="s">
        <v>117</v>
      </c>
      <c r="D275" t="s">
        <v>24</v>
      </c>
      <c r="E275">
        <v>139</v>
      </c>
      <c r="F275">
        <v>180</v>
      </c>
      <c r="G275">
        <v>77.22</v>
      </c>
      <c r="H275">
        <v>1239961</v>
      </c>
      <c r="I275">
        <v>22175</v>
      </c>
      <c r="J275">
        <v>695288</v>
      </c>
      <c r="K275">
        <v>1295859</v>
      </c>
      <c r="L275">
        <v>74</v>
      </c>
      <c r="M275" t="s">
        <v>18</v>
      </c>
      <c r="N275">
        <v>4.4000000000000004</v>
      </c>
    </row>
    <row r="276" spans="1:14" x14ac:dyDescent="0.35">
      <c r="A276" t="s">
        <v>498</v>
      </c>
      <c r="B276" t="s">
        <v>499</v>
      </c>
      <c r="C276" t="s">
        <v>32</v>
      </c>
      <c r="D276" t="s">
        <v>24</v>
      </c>
      <c r="E276">
        <v>167</v>
      </c>
      <c r="F276">
        <v>180</v>
      </c>
      <c r="G276">
        <v>92.78</v>
      </c>
      <c r="H276">
        <v>957975</v>
      </c>
      <c r="I276">
        <v>23069</v>
      </c>
      <c r="J276">
        <v>1149259</v>
      </c>
      <c r="K276">
        <v>1682100</v>
      </c>
      <c r="L276">
        <v>2</v>
      </c>
      <c r="M276" t="s">
        <v>33</v>
      </c>
      <c r="N276">
        <v>3.6</v>
      </c>
    </row>
    <row r="277" spans="1:14" x14ac:dyDescent="0.35">
      <c r="A277" t="s">
        <v>500</v>
      </c>
      <c r="B277" t="s">
        <v>45</v>
      </c>
      <c r="C277" t="s">
        <v>32</v>
      </c>
      <c r="D277" t="s">
        <v>17</v>
      </c>
      <c r="E277">
        <v>46</v>
      </c>
      <c r="F277">
        <v>78</v>
      </c>
      <c r="G277">
        <v>58.97</v>
      </c>
      <c r="H277">
        <v>176731</v>
      </c>
      <c r="I277">
        <v>127561</v>
      </c>
      <c r="J277">
        <v>681705</v>
      </c>
      <c r="K277">
        <v>969969</v>
      </c>
      <c r="L277">
        <v>22</v>
      </c>
      <c r="M277" t="s">
        <v>18</v>
      </c>
      <c r="N277">
        <v>4.5</v>
      </c>
    </row>
    <row r="278" spans="1:14" x14ac:dyDescent="0.35">
      <c r="A278" t="s">
        <v>501</v>
      </c>
      <c r="B278" t="s">
        <v>502</v>
      </c>
      <c r="C278" t="s">
        <v>29</v>
      </c>
      <c r="D278" t="s">
        <v>43</v>
      </c>
      <c r="E278">
        <v>178</v>
      </c>
      <c r="F278">
        <v>232</v>
      </c>
      <c r="G278">
        <v>76.72</v>
      </c>
      <c r="H278">
        <v>806899</v>
      </c>
      <c r="I278">
        <v>33844</v>
      </c>
      <c r="J278">
        <v>1053970</v>
      </c>
      <c r="K278">
        <v>1711584</v>
      </c>
      <c r="L278">
        <v>57</v>
      </c>
      <c r="M278" t="s">
        <v>18</v>
      </c>
      <c r="N278">
        <v>3.2</v>
      </c>
    </row>
    <row r="279" spans="1:14" x14ac:dyDescent="0.35">
      <c r="A279" t="s">
        <v>503</v>
      </c>
      <c r="B279" t="s">
        <v>504</v>
      </c>
      <c r="C279" t="s">
        <v>36</v>
      </c>
      <c r="D279" t="s">
        <v>43</v>
      </c>
      <c r="E279">
        <v>172</v>
      </c>
      <c r="F279">
        <v>232</v>
      </c>
      <c r="G279">
        <v>74.14</v>
      </c>
      <c r="H279">
        <v>1284317</v>
      </c>
      <c r="I279">
        <v>110640</v>
      </c>
      <c r="J279">
        <v>779475</v>
      </c>
      <c r="K279">
        <v>1474516</v>
      </c>
      <c r="L279">
        <v>28</v>
      </c>
      <c r="M279" t="s">
        <v>18</v>
      </c>
      <c r="N279">
        <v>3.7</v>
      </c>
    </row>
    <row r="280" spans="1:14" x14ac:dyDescent="0.35">
      <c r="A280" t="s">
        <v>505</v>
      </c>
      <c r="B280" t="s">
        <v>506</v>
      </c>
      <c r="C280" t="s">
        <v>16</v>
      </c>
      <c r="D280" t="s">
        <v>43</v>
      </c>
      <c r="E280">
        <v>156</v>
      </c>
      <c r="F280">
        <v>232</v>
      </c>
      <c r="G280">
        <v>67.239999999999995</v>
      </c>
      <c r="H280">
        <v>1230456</v>
      </c>
      <c r="I280">
        <v>95310</v>
      </c>
      <c r="J280">
        <v>590511</v>
      </c>
      <c r="K280">
        <v>1258877</v>
      </c>
      <c r="L280">
        <v>89</v>
      </c>
      <c r="M280" t="s">
        <v>18</v>
      </c>
      <c r="N280">
        <v>4</v>
      </c>
    </row>
    <row r="281" spans="1:14" x14ac:dyDescent="0.35">
      <c r="A281" t="s">
        <v>507</v>
      </c>
      <c r="B281" t="s">
        <v>286</v>
      </c>
      <c r="C281" t="s">
        <v>16</v>
      </c>
      <c r="D281" t="s">
        <v>43</v>
      </c>
      <c r="E281">
        <v>166</v>
      </c>
      <c r="F281">
        <v>232</v>
      </c>
      <c r="G281">
        <v>71.55</v>
      </c>
      <c r="H281">
        <v>1456576</v>
      </c>
      <c r="I281">
        <v>63883</v>
      </c>
      <c r="J281">
        <v>405263</v>
      </c>
      <c r="K281">
        <v>986103</v>
      </c>
      <c r="L281">
        <v>31</v>
      </c>
      <c r="M281" t="s">
        <v>18</v>
      </c>
      <c r="N281">
        <v>4.4000000000000004</v>
      </c>
    </row>
    <row r="282" spans="1:14" x14ac:dyDescent="0.35">
      <c r="A282" t="s">
        <v>508</v>
      </c>
      <c r="B282" t="s">
        <v>509</v>
      </c>
      <c r="C282" t="s">
        <v>76</v>
      </c>
      <c r="D282" t="s">
        <v>24</v>
      </c>
      <c r="E282">
        <v>118</v>
      </c>
      <c r="F282">
        <v>180</v>
      </c>
      <c r="G282">
        <v>65.56</v>
      </c>
      <c r="H282">
        <v>813197</v>
      </c>
      <c r="I282">
        <v>102896</v>
      </c>
      <c r="J282">
        <v>849381</v>
      </c>
      <c r="K282">
        <v>1529084</v>
      </c>
      <c r="L282">
        <v>31</v>
      </c>
      <c r="M282" t="s">
        <v>18</v>
      </c>
      <c r="N282">
        <v>4.7</v>
      </c>
    </row>
    <row r="283" spans="1:14" x14ac:dyDescent="0.35">
      <c r="A283" t="s">
        <v>510</v>
      </c>
      <c r="B283" t="s">
        <v>352</v>
      </c>
      <c r="C283" t="s">
        <v>39</v>
      </c>
      <c r="D283" t="s">
        <v>24</v>
      </c>
      <c r="E283">
        <v>110</v>
      </c>
      <c r="F283">
        <v>180</v>
      </c>
      <c r="G283">
        <v>61.11</v>
      </c>
      <c r="H283">
        <v>859316</v>
      </c>
      <c r="I283">
        <v>40106</v>
      </c>
      <c r="J283">
        <v>652551</v>
      </c>
      <c r="K283">
        <v>1131374</v>
      </c>
      <c r="L283">
        <v>52</v>
      </c>
      <c r="M283" t="s">
        <v>18</v>
      </c>
      <c r="N283">
        <v>3.4</v>
      </c>
    </row>
    <row r="284" spans="1:14" x14ac:dyDescent="0.35">
      <c r="A284" t="s">
        <v>511</v>
      </c>
      <c r="B284" t="s">
        <v>512</v>
      </c>
      <c r="C284" t="s">
        <v>29</v>
      </c>
      <c r="D284" t="s">
        <v>17</v>
      </c>
      <c r="E284">
        <v>65</v>
      </c>
      <c r="F284">
        <v>78</v>
      </c>
      <c r="G284">
        <v>83.33</v>
      </c>
      <c r="H284">
        <v>541884</v>
      </c>
      <c r="I284">
        <v>81141</v>
      </c>
      <c r="J284">
        <v>338305</v>
      </c>
      <c r="K284">
        <v>677184</v>
      </c>
      <c r="L284">
        <v>18</v>
      </c>
      <c r="M284" t="s">
        <v>18</v>
      </c>
      <c r="N284">
        <v>3.2</v>
      </c>
    </row>
    <row r="285" spans="1:14" x14ac:dyDescent="0.35">
      <c r="A285" t="s">
        <v>513</v>
      </c>
      <c r="B285" t="s">
        <v>306</v>
      </c>
      <c r="C285" t="s">
        <v>32</v>
      </c>
      <c r="D285" t="s">
        <v>24</v>
      </c>
      <c r="E285">
        <v>161</v>
      </c>
      <c r="F285">
        <v>180</v>
      </c>
      <c r="G285">
        <v>89.44</v>
      </c>
      <c r="H285">
        <v>946318</v>
      </c>
      <c r="I285">
        <v>34087</v>
      </c>
      <c r="J285">
        <v>406549</v>
      </c>
      <c r="K285">
        <v>587342</v>
      </c>
      <c r="L285">
        <v>73</v>
      </c>
      <c r="M285" t="s">
        <v>18</v>
      </c>
      <c r="N285">
        <v>4.7</v>
      </c>
    </row>
    <row r="286" spans="1:14" x14ac:dyDescent="0.35">
      <c r="A286" t="s">
        <v>514</v>
      </c>
      <c r="B286" t="s">
        <v>515</v>
      </c>
      <c r="C286" t="s">
        <v>76</v>
      </c>
      <c r="D286" t="s">
        <v>43</v>
      </c>
      <c r="E286">
        <v>151</v>
      </c>
      <c r="F286">
        <v>232</v>
      </c>
      <c r="G286">
        <v>65.09</v>
      </c>
      <c r="H286">
        <v>857332</v>
      </c>
      <c r="I286">
        <v>115100</v>
      </c>
      <c r="J286">
        <v>817284</v>
      </c>
      <c r="K286">
        <v>1351920</v>
      </c>
      <c r="L286">
        <v>63</v>
      </c>
      <c r="M286" t="s">
        <v>18</v>
      </c>
      <c r="N286">
        <v>3.3</v>
      </c>
    </row>
    <row r="287" spans="1:14" x14ac:dyDescent="0.35">
      <c r="A287" t="s">
        <v>516</v>
      </c>
      <c r="B287" t="s">
        <v>517</v>
      </c>
      <c r="C287" t="s">
        <v>16</v>
      </c>
      <c r="D287" t="s">
        <v>17</v>
      </c>
      <c r="E287">
        <v>65</v>
      </c>
      <c r="F287">
        <v>78</v>
      </c>
      <c r="G287">
        <v>83.33</v>
      </c>
      <c r="H287">
        <v>551863</v>
      </c>
      <c r="I287">
        <v>127609</v>
      </c>
      <c r="J287">
        <v>876626</v>
      </c>
      <c r="K287">
        <v>1225884</v>
      </c>
      <c r="L287">
        <v>46</v>
      </c>
      <c r="M287" t="s">
        <v>18</v>
      </c>
      <c r="N287">
        <v>3.8</v>
      </c>
    </row>
    <row r="288" spans="1:14" x14ac:dyDescent="0.35">
      <c r="A288" t="s">
        <v>518</v>
      </c>
      <c r="B288" t="s">
        <v>356</v>
      </c>
      <c r="C288" t="s">
        <v>32</v>
      </c>
      <c r="D288" t="s">
        <v>17</v>
      </c>
      <c r="E288">
        <v>61</v>
      </c>
      <c r="F288">
        <v>78</v>
      </c>
      <c r="G288">
        <v>78.209999999999994</v>
      </c>
      <c r="H288">
        <v>337402</v>
      </c>
      <c r="I288">
        <v>38927</v>
      </c>
      <c r="J288">
        <v>954055</v>
      </c>
      <c r="K288">
        <v>1579976</v>
      </c>
      <c r="L288">
        <v>53</v>
      </c>
      <c r="M288" t="s">
        <v>18</v>
      </c>
      <c r="N288">
        <v>3.6</v>
      </c>
    </row>
    <row r="289" spans="1:14" x14ac:dyDescent="0.35">
      <c r="A289" t="s">
        <v>519</v>
      </c>
      <c r="B289" t="s">
        <v>298</v>
      </c>
      <c r="C289" t="s">
        <v>42</v>
      </c>
      <c r="D289" t="s">
        <v>17</v>
      </c>
      <c r="E289">
        <v>63</v>
      </c>
      <c r="F289">
        <v>78</v>
      </c>
      <c r="G289">
        <v>80.77</v>
      </c>
      <c r="H289">
        <v>356860</v>
      </c>
      <c r="I289">
        <v>103364</v>
      </c>
      <c r="J289">
        <v>1009762</v>
      </c>
      <c r="K289">
        <v>1532171</v>
      </c>
      <c r="L289">
        <v>75</v>
      </c>
      <c r="M289" t="s">
        <v>18</v>
      </c>
      <c r="N289">
        <v>4</v>
      </c>
    </row>
    <row r="290" spans="1:14" x14ac:dyDescent="0.35">
      <c r="A290" t="s">
        <v>520</v>
      </c>
      <c r="B290" t="s">
        <v>149</v>
      </c>
      <c r="C290" t="s">
        <v>76</v>
      </c>
      <c r="D290" t="s">
        <v>24</v>
      </c>
      <c r="E290">
        <v>134</v>
      </c>
      <c r="F290">
        <v>180</v>
      </c>
      <c r="G290">
        <v>74.44</v>
      </c>
      <c r="H290">
        <v>1064842</v>
      </c>
      <c r="I290">
        <v>56248</v>
      </c>
      <c r="J290">
        <v>562833</v>
      </c>
      <c r="K290">
        <v>1142916</v>
      </c>
      <c r="L290">
        <v>38</v>
      </c>
      <c r="M290" t="s">
        <v>18</v>
      </c>
      <c r="N290">
        <v>4.5999999999999996</v>
      </c>
    </row>
    <row r="291" spans="1:14" x14ac:dyDescent="0.35">
      <c r="A291" t="s">
        <v>521</v>
      </c>
      <c r="B291" t="s">
        <v>522</v>
      </c>
      <c r="C291" t="s">
        <v>117</v>
      </c>
      <c r="D291" t="s">
        <v>24</v>
      </c>
      <c r="E291">
        <v>165</v>
      </c>
      <c r="F291">
        <v>180</v>
      </c>
      <c r="G291">
        <v>91.67</v>
      </c>
      <c r="H291">
        <v>838320</v>
      </c>
      <c r="I291">
        <v>133660</v>
      </c>
      <c r="J291">
        <v>685472</v>
      </c>
      <c r="K291">
        <v>1250514</v>
      </c>
      <c r="L291">
        <v>55</v>
      </c>
      <c r="M291" t="s">
        <v>18</v>
      </c>
      <c r="N291">
        <v>4.3</v>
      </c>
    </row>
    <row r="292" spans="1:14" x14ac:dyDescent="0.35">
      <c r="A292" t="s">
        <v>523</v>
      </c>
      <c r="B292" t="s">
        <v>524</v>
      </c>
      <c r="C292" t="s">
        <v>39</v>
      </c>
      <c r="D292" t="s">
        <v>24</v>
      </c>
      <c r="E292">
        <v>141</v>
      </c>
      <c r="F292">
        <v>180</v>
      </c>
      <c r="G292">
        <v>78.33</v>
      </c>
      <c r="H292">
        <v>1034045</v>
      </c>
      <c r="I292">
        <v>66695</v>
      </c>
      <c r="J292">
        <v>1081665</v>
      </c>
      <c r="K292">
        <v>1466899</v>
      </c>
      <c r="L292">
        <v>80</v>
      </c>
      <c r="M292" t="s">
        <v>18</v>
      </c>
      <c r="N292">
        <v>4.7</v>
      </c>
    </row>
    <row r="293" spans="1:14" x14ac:dyDescent="0.35">
      <c r="A293" t="s">
        <v>525</v>
      </c>
      <c r="B293" t="s">
        <v>526</v>
      </c>
      <c r="C293" t="s">
        <v>59</v>
      </c>
      <c r="D293" t="s">
        <v>43</v>
      </c>
      <c r="E293">
        <v>143</v>
      </c>
      <c r="F293">
        <v>232</v>
      </c>
      <c r="G293">
        <v>61.64</v>
      </c>
      <c r="H293">
        <v>1025925</v>
      </c>
      <c r="I293">
        <v>43615</v>
      </c>
      <c r="J293">
        <v>422462</v>
      </c>
      <c r="K293">
        <v>968904</v>
      </c>
      <c r="L293">
        <v>29</v>
      </c>
      <c r="M293" t="s">
        <v>18</v>
      </c>
      <c r="N293">
        <v>3.4</v>
      </c>
    </row>
    <row r="294" spans="1:14" x14ac:dyDescent="0.35">
      <c r="A294" t="s">
        <v>527</v>
      </c>
      <c r="B294" t="s">
        <v>331</v>
      </c>
      <c r="C294" t="s">
        <v>117</v>
      </c>
      <c r="D294" t="s">
        <v>24</v>
      </c>
      <c r="E294">
        <v>148</v>
      </c>
      <c r="F294">
        <v>180</v>
      </c>
      <c r="G294">
        <v>82.22</v>
      </c>
      <c r="H294">
        <v>542413</v>
      </c>
      <c r="I294">
        <v>149142</v>
      </c>
      <c r="J294">
        <v>555580</v>
      </c>
      <c r="K294">
        <v>968900</v>
      </c>
      <c r="L294">
        <v>5</v>
      </c>
      <c r="M294" t="s">
        <v>33</v>
      </c>
      <c r="N294">
        <v>4.0999999999999996</v>
      </c>
    </row>
    <row r="295" spans="1:14" x14ac:dyDescent="0.35">
      <c r="A295" t="s">
        <v>528</v>
      </c>
      <c r="B295" t="s">
        <v>529</v>
      </c>
      <c r="C295" t="s">
        <v>29</v>
      </c>
      <c r="D295" t="s">
        <v>43</v>
      </c>
      <c r="E295">
        <v>168</v>
      </c>
      <c r="F295">
        <v>232</v>
      </c>
      <c r="G295">
        <v>72.41</v>
      </c>
      <c r="H295">
        <v>1073950</v>
      </c>
      <c r="I295">
        <v>130167</v>
      </c>
      <c r="J295">
        <v>504016</v>
      </c>
      <c r="K295">
        <v>900404</v>
      </c>
      <c r="L295">
        <v>27</v>
      </c>
      <c r="M295" t="s">
        <v>18</v>
      </c>
      <c r="N295">
        <v>3.7</v>
      </c>
    </row>
    <row r="296" spans="1:14" x14ac:dyDescent="0.35">
      <c r="A296" t="s">
        <v>530</v>
      </c>
      <c r="B296" t="s">
        <v>222</v>
      </c>
      <c r="C296" t="s">
        <v>16</v>
      </c>
      <c r="D296" t="s">
        <v>24</v>
      </c>
      <c r="E296">
        <v>153</v>
      </c>
      <c r="F296">
        <v>180</v>
      </c>
      <c r="G296">
        <v>85</v>
      </c>
      <c r="H296">
        <v>1161899</v>
      </c>
      <c r="I296">
        <v>90152</v>
      </c>
      <c r="J296">
        <v>541860</v>
      </c>
      <c r="K296">
        <v>809473</v>
      </c>
      <c r="L296">
        <v>67</v>
      </c>
      <c r="M296" t="s">
        <v>18</v>
      </c>
      <c r="N296">
        <v>4.5999999999999996</v>
      </c>
    </row>
    <row r="297" spans="1:14" x14ac:dyDescent="0.35">
      <c r="A297" t="s">
        <v>531</v>
      </c>
      <c r="B297" t="s">
        <v>532</v>
      </c>
      <c r="C297" t="s">
        <v>76</v>
      </c>
      <c r="D297" t="s">
        <v>43</v>
      </c>
      <c r="E297">
        <v>169</v>
      </c>
      <c r="F297">
        <v>232</v>
      </c>
      <c r="G297">
        <v>72.84</v>
      </c>
      <c r="H297">
        <v>993268</v>
      </c>
      <c r="I297">
        <v>122532</v>
      </c>
      <c r="J297">
        <v>765478</v>
      </c>
      <c r="K297">
        <v>1120009</v>
      </c>
      <c r="L297">
        <v>61</v>
      </c>
      <c r="M297" t="s">
        <v>18</v>
      </c>
      <c r="N297">
        <v>4.5999999999999996</v>
      </c>
    </row>
    <row r="298" spans="1:14" x14ac:dyDescent="0.35">
      <c r="A298" t="s">
        <v>533</v>
      </c>
      <c r="B298" t="s">
        <v>31</v>
      </c>
      <c r="C298" t="s">
        <v>39</v>
      </c>
      <c r="D298" t="s">
        <v>24</v>
      </c>
      <c r="E298">
        <v>119</v>
      </c>
      <c r="F298">
        <v>180</v>
      </c>
      <c r="G298">
        <v>66.11</v>
      </c>
      <c r="H298">
        <v>620003</v>
      </c>
      <c r="I298">
        <v>59679</v>
      </c>
      <c r="J298">
        <v>403084</v>
      </c>
      <c r="K298">
        <v>798590</v>
      </c>
      <c r="L298">
        <v>39</v>
      </c>
      <c r="M298" t="s">
        <v>18</v>
      </c>
      <c r="N298">
        <v>4.5</v>
      </c>
    </row>
    <row r="299" spans="1:14" x14ac:dyDescent="0.35">
      <c r="A299" t="s">
        <v>534</v>
      </c>
      <c r="B299" t="s">
        <v>23</v>
      </c>
      <c r="C299" t="s">
        <v>29</v>
      </c>
      <c r="D299" t="s">
        <v>17</v>
      </c>
      <c r="E299">
        <v>76</v>
      </c>
      <c r="F299">
        <v>78</v>
      </c>
      <c r="G299">
        <v>97.44</v>
      </c>
      <c r="H299">
        <v>675203</v>
      </c>
      <c r="I299">
        <v>46780</v>
      </c>
      <c r="J299">
        <v>1095913</v>
      </c>
      <c r="K299">
        <v>1324500</v>
      </c>
      <c r="L299">
        <v>5</v>
      </c>
      <c r="M299" t="s">
        <v>33</v>
      </c>
      <c r="N299">
        <v>4</v>
      </c>
    </row>
    <row r="300" spans="1:14" x14ac:dyDescent="0.35">
      <c r="A300" t="s">
        <v>535</v>
      </c>
      <c r="B300" t="s">
        <v>536</v>
      </c>
      <c r="C300" t="s">
        <v>117</v>
      </c>
      <c r="D300" t="s">
        <v>17</v>
      </c>
      <c r="E300">
        <v>56</v>
      </c>
      <c r="F300">
        <v>78</v>
      </c>
      <c r="G300">
        <v>71.790000000000006</v>
      </c>
      <c r="H300">
        <v>301039</v>
      </c>
      <c r="I300">
        <v>16589</v>
      </c>
      <c r="J300">
        <v>1174531</v>
      </c>
      <c r="K300">
        <v>1590709</v>
      </c>
      <c r="L300">
        <v>19</v>
      </c>
      <c r="M300" t="s">
        <v>18</v>
      </c>
      <c r="N300">
        <v>3.4</v>
      </c>
    </row>
    <row r="301" spans="1:14" x14ac:dyDescent="0.35">
      <c r="A301" t="s">
        <v>537</v>
      </c>
      <c r="B301" t="s">
        <v>538</v>
      </c>
      <c r="C301" t="s">
        <v>21</v>
      </c>
      <c r="D301" t="s">
        <v>43</v>
      </c>
      <c r="E301">
        <v>225</v>
      </c>
      <c r="F301">
        <v>232</v>
      </c>
      <c r="G301">
        <v>96.98</v>
      </c>
      <c r="H301">
        <v>994996</v>
      </c>
      <c r="I301">
        <v>48457</v>
      </c>
      <c r="J301">
        <v>1165635</v>
      </c>
      <c r="K301">
        <v>1760985</v>
      </c>
      <c r="L301">
        <v>63</v>
      </c>
      <c r="M301" t="s">
        <v>18</v>
      </c>
      <c r="N301">
        <v>3.7</v>
      </c>
    </row>
    <row r="302" spans="1:14" x14ac:dyDescent="0.35">
      <c r="A302" t="s">
        <v>539</v>
      </c>
      <c r="B302" t="s">
        <v>540</v>
      </c>
      <c r="C302" t="s">
        <v>32</v>
      </c>
      <c r="D302" t="s">
        <v>24</v>
      </c>
      <c r="E302">
        <v>120</v>
      </c>
      <c r="F302">
        <v>180</v>
      </c>
      <c r="G302">
        <v>66.67</v>
      </c>
      <c r="H302">
        <v>578122</v>
      </c>
      <c r="I302">
        <v>143087</v>
      </c>
      <c r="J302">
        <v>468292</v>
      </c>
      <c r="K302">
        <v>710701</v>
      </c>
      <c r="L302">
        <v>62</v>
      </c>
      <c r="M302" t="s">
        <v>18</v>
      </c>
      <c r="N302">
        <v>4.4000000000000004</v>
      </c>
    </row>
    <row r="303" spans="1:14" x14ac:dyDescent="0.35">
      <c r="A303" t="s">
        <v>541</v>
      </c>
      <c r="B303" t="s">
        <v>304</v>
      </c>
      <c r="C303" t="s">
        <v>36</v>
      </c>
      <c r="D303" t="s">
        <v>17</v>
      </c>
      <c r="E303">
        <v>47</v>
      </c>
      <c r="F303">
        <v>78</v>
      </c>
      <c r="G303">
        <v>60.26</v>
      </c>
      <c r="H303">
        <v>419073</v>
      </c>
      <c r="I303">
        <v>112200</v>
      </c>
      <c r="J303">
        <v>1003156</v>
      </c>
      <c r="K303">
        <v>1496262</v>
      </c>
      <c r="L303">
        <v>42</v>
      </c>
      <c r="M303" t="s">
        <v>18</v>
      </c>
      <c r="N303">
        <v>4.5</v>
      </c>
    </row>
    <row r="304" spans="1:14" x14ac:dyDescent="0.35">
      <c r="A304" t="s">
        <v>542</v>
      </c>
      <c r="B304" t="s">
        <v>496</v>
      </c>
      <c r="C304" t="s">
        <v>39</v>
      </c>
      <c r="D304" t="s">
        <v>24</v>
      </c>
      <c r="E304">
        <v>170</v>
      </c>
      <c r="F304">
        <v>180</v>
      </c>
      <c r="G304">
        <v>94.44</v>
      </c>
      <c r="H304">
        <v>1512765</v>
      </c>
      <c r="I304">
        <v>83589</v>
      </c>
      <c r="J304">
        <v>884239</v>
      </c>
      <c r="K304">
        <v>1276863</v>
      </c>
      <c r="L304">
        <v>44</v>
      </c>
      <c r="M304" t="s">
        <v>18</v>
      </c>
      <c r="N304">
        <v>4.0999999999999996</v>
      </c>
    </row>
    <row r="305" spans="1:14" x14ac:dyDescent="0.35">
      <c r="A305" t="s">
        <v>543</v>
      </c>
      <c r="B305" t="s">
        <v>544</v>
      </c>
      <c r="C305" t="s">
        <v>117</v>
      </c>
      <c r="D305" t="s">
        <v>17</v>
      </c>
      <c r="E305">
        <v>62</v>
      </c>
      <c r="F305">
        <v>78</v>
      </c>
      <c r="G305">
        <v>79.489999999999995</v>
      </c>
      <c r="H305">
        <v>448323</v>
      </c>
      <c r="I305">
        <v>90747</v>
      </c>
      <c r="J305">
        <v>499125</v>
      </c>
      <c r="K305">
        <v>936939</v>
      </c>
      <c r="L305">
        <v>42</v>
      </c>
      <c r="M305" t="s">
        <v>18</v>
      </c>
      <c r="N305">
        <v>3.9</v>
      </c>
    </row>
    <row r="306" spans="1:14" x14ac:dyDescent="0.35">
      <c r="A306" t="s">
        <v>545</v>
      </c>
      <c r="B306" t="s">
        <v>175</v>
      </c>
      <c r="C306" t="s">
        <v>32</v>
      </c>
      <c r="D306" t="s">
        <v>17</v>
      </c>
      <c r="E306">
        <v>65</v>
      </c>
      <c r="F306">
        <v>78</v>
      </c>
      <c r="G306">
        <v>83.33</v>
      </c>
      <c r="H306">
        <v>244495</v>
      </c>
      <c r="I306">
        <v>31265</v>
      </c>
      <c r="J306">
        <v>938105</v>
      </c>
      <c r="K306">
        <v>1202671</v>
      </c>
      <c r="L306">
        <v>45</v>
      </c>
      <c r="M306" t="s">
        <v>18</v>
      </c>
      <c r="N306">
        <v>4.2</v>
      </c>
    </row>
    <row r="307" spans="1:14" x14ac:dyDescent="0.35">
      <c r="A307" t="s">
        <v>546</v>
      </c>
      <c r="B307" t="s">
        <v>547</v>
      </c>
      <c r="C307" t="s">
        <v>36</v>
      </c>
      <c r="D307" t="s">
        <v>43</v>
      </c>
      <c r="E307">
        <v>180</v>
      </c>
      <c r="F307">
        <v>232</v>
      </c>
      <c r="G307">
        <v>77.59</v>
      </c>
      <c r="H307">
        <v>675023</v>
      </c>
      <c r="I307">
        <v>144397</v>
      </c>
      <c r="J307">
        <v>1045315</v>
      </c>
      <c r="K307">
        <v>1434332</v>
      </c>
      <c r="L307">
        <v>29</v>
      </c>
      <c r="M307" t="s">
        <v>18</v>
      </c>
      <c r="N307">
        <v>3.2</v>
      </c>
    </row>
    <row r="308" spans="1:14" x14ac:dyDescent="0.35">
      <c r="A308" t="s">
        <v>548</v>
      </c>
      <c r="B308" t="s">
        <v>41</v>
      </c>
      <c r="C308" t="s">
        <v>29</v>
      </c>
      <c r="D308" t="s">
        <v>17</v>
      </c>
      <c r="E308">
        <v>71</v>
      </c>
      <c r="F308">
        <v>78</v>
      </c>
      <c r="G308">
        <v>91.03</v>
      </c>
      <c r="H308">
        <v>426540</v>
      </c>
      <c r="I308">
        <v>27002</v>
      </c>
      <c r="J308">
        <v>1087648</v>
      </c>
      <c r="K308">
        <v>1222414</v>
      </c>
      <c r="L308">
        <v>45</v>
      </c>
      <c r="M308" t="s">
        <v>18</v>
      </c>
      <c r="N308">
        <v>4.2</v>
      </c>
    </row>
    <row r="309" spans="1:14" x14ac:dyDescent="0.35">
      <c r="A309" t="s">
        <v>549</v>
      </c>
      <c r="B309" t="s">
        <v>550</v>
      </c>
      <c r="C309" t="s">
        <v>59</v>
      </c>
      <c r="D309" t="s">
        <v>24</v>
      </c>
      <c r="E309">
        <v>168</v>
      </c>
      <c r="F309">
        <v>180</v>
      </c>
      <c r="G309">
        <v>93.33</v>
      </c>
      <c r="H309">
        <v>804539</v>
      </c>
      <c r="I309">
        <v>92793</v>
      </c>
      <c r="J309">
        <v>374492</v>
      </c>
      <c r="K309">
        <v>615683</v>
      </c>
      <c r="L309">
        <v>88</v>
      </c>
      <c r="M309" t="s">
        <v>18</v>
      </c>
      <c r="N309">
        <v>3.8</v>
      </c>
    </row>
    <row r="310" spans="1:14" x14ac:dyDescent="0.35">
      <c r="A310" t="s">
        <v>551</v>
      </c>
      <c r="B310" t="s">
        <v>266</v>
      </c>
      <c r="C310" t="s">
        <v>59</v>
      </c>
      <c r="D310" t="s">
        <v>17</v>
      </c>
      <c r="E310">
        <v>71</v>
      </c>
      <c r="F310">
        <v>78</v>
      </c>
      <c r="G310">
        <v>91.03</v>
      </c>
      <c r="H310">
        <v>357637</v>
      </c>
      <c r="I310">
        <v>108021</v>
      </c>
      <c r="J310">
        <v>601282</v>
      </c>
      <c r="K310">
        <v>952480</v>
      </c>
      <c r="L310">
        <v>21</v>
      </c>
      <c r="M310" t="s">
        <v>18</v>
      </c>
      <c r="N310">
        <v>3.3</v>
      </c>
    </row>
    <row r="311" spans="1:14" x14ac:dyDescent="0.35">
      <c r="A311" t="s">
        <v>552</v>
      </c>
      <c r="B311" t="s">
        <v>165</v>
      </c>
      <c r="C311" t="s">
        <v>29</v>
      </c>
      <c r="D311" t="s">
        <v>24</v>
      </c>
      <c r="E311">
        <v>132</v>
      </c>
      <c r="F311">
        <v>180</v>
      </c>
      <c r="G311">
        <v>73.33</v>
      </c>
      <c r="H311">
        <v>894013</v>
      </c>
      <c r="I311">
        <v>74364</v>
      </c>
      <c r="J311">
        <v>285168</v>
      </c>
      <c r="K311">
        <v>880505</v>
      </c>
      <c r="L311">
        <v>38</v>
      </c>
      <c r="M311" t="s">
        <v>18</v>
      </c>
      <c r="N311">
        <v>4.5</v>
      </c>
    </row>
    <row r="312" spans="1:14" x14ac:dyDescent="0.35">
      <c r="A312" t="s">
        <v>553</v>
      </c>
      <c r="B312" t="s">
        <v>413</v>
      </c>
      <c r="C312" t="s">
        <v>16</v>
      </c>
      <c r="D312" t="s">
        <v>17</v>
      </c>
      <c r="E312">
        <v>46</v>
      </c>
      <c r="F312">
        <v>78</v>
      </c>
      <c r="G312">
        <v>58.97</v>
      </c>
      <c r="H312">
        <v>225010</v>
      </c>
      <c r="I312">
        <v>32454</v>
      </c>
      <c r="J312">
        <v>879955</v>
      </c>
      <c r="K312">
        <v>1429692</v>
      </c>
      <c r="L312">
        <v>10</v>
      </c>
      <c r="M312" t="s">
        <v>33</v>
      </c>
      <c r="N312">
        <v>4</v>
      </c>
    </row>
    <row r="313" spans="1:14" x14ac:dyDescent="0.35">
      <c r="A313" t="s">
        <v>554</v>
      </c>
      <c r="B313" t="s">
        <v>555</v>
      </c>
      <c r="C313" t="s">
        <v>32</v>
      </c>
      <c r="D313" t="s">
        <v>24</v>
      </c>
      <c r="E313">
        <v>165</v>
      </c>
      <c r="F313">
        <v>180</v>
      </c>
      <c r="G313">
        <v>91.67</v>
      </c>
      <c r="H313">
        <v>1072005</v>
      </c>
      <c r="I313">
        <v>36336</v>
      </c>
      <c r="J313">
        <v>1164681</v>
      </c>
      <c r="K313">
        <v>1549791</v>
      </c>
      <c r="L313">
        <v>5</v>
      </c>
      <c r="M313" t="s">
        <v>33</v>
      </c>
      <c r="N313">
        <v>3.8</v>
      </c>
    </row>
    <row r="314" spans="1:14" x14ac:dyDescent="0.35">
      <c r="A314" t="s">
        <v>556</v>
      </c>
      <c r="B314" t="s">
        <v>557</v>
      </c>
      <c r="C314" t="s">
        <v>76</v>
      </c>
      <c r="D314" t="s">
        <v>17</v>
      </c>
      <c r="E314">
        <v>51</v>
      </c>
      <c r="F314">
        <v>78</v>
      </c>
      <c r="G314">
        <v>65.38</v>
      </c>
      <c r="H314">
        <v>345793</v>
      </c>
      <c r="I314">
        <v>48652</v>
      </c>
      <c r="J314">
        <v>438367</v>
      </c>
      <c r="K314">
        <v>841056</v>
      </c>
      <c r="L314">
        <v>77</v>
      </c>
      <c r="M314" t="s">
        <v>18</v>
      </c>
      <c r="N314">
        <v>3.8</v>
      </c>
    </row>
    <row r="315" spans="1:14" x14ac:dyDescent="0.35">
      <c r="A315" t="s">
        <v>558</v>
      </c>
      <c r="B315" t="s">
        <v>559</v>
      </c>
      <c r="C315" t="s">
        <v>76</v>
      </c>
      <c r="D315" t="s">
        <v>24</v>
      </c>
      <c r="E315">
        <v>120</v>
      </c>
      <c r="F315">
        <v>180</v>
      </c>
      <c r="G315">
        <v>66.67</v>
      </c>
      <c r="H315">
        <v>586168</v>
      </c>
      <c r="I315">
        <v>25163</v>
      </c>
      <c r="J315">
        <v>1170895</v>
      </c>
      <c r="K315">
        <v>1640275</v>
      </c>
      <c r="L315">
        <v>46</v>
      </c>
      <c r="M315" t="s">
        <v>18</v>
      </c>
      <c r="N315">
        <v>3.5</v>
      </c>
    </row>
    <row r="316" spans="1:14" x14ac:dyDescent="0.35">
      <c r="A316" t="s">
        <v>560</v>
      </c>
      <c r="B316" t="s">
        <v>352</v>
      </c>
      <c r="C316" t="s">
        <v>32</v>
      </c>
      <c r="D316" t="s">
        <v>17</v>
      </c>
      <c r="E316">
        <v>69</v>
      </c>
      <c r="F316">
        <v>78</v>
      </c>
      <c r="G316">
        <v>88.46</v>
      </c>
      <c r="H316">
        <v>527832</v>
      </c>
      <c r="I316">
        <v>142804</v>
      </c>
      <c r="J316">
        <v>677855</v>
      </c>
      <c r="K316">
        <v>920086</v>
      </c>
      <c r="L316">
        <v>61</v>
      </c>
      <c r="M316" t="s">
        <v>18</v>
      </c>
      <c r="N316">
        <v>3.8</v>
      </c>
    </row>
    <row r="317" spans="1:14" x14ac:dyDescent="0.35">
      <c r="A317" t="s">
        <v>561</v>
      </c>
      <c r="B317" t="s">
        <v>562</v>
      </c>
      <c r="C317" t="s">
        <v>76</v>
      </c>
      <c r="D317" t="s">
        <v>17</v>
      </c>
      <c r="E317">
        <v>64</v>
      </c>
      <c r="F317">
        <v>78</v>
      </c>
      <c r="G317">
        <v>82.05</v>
      </c>
      <c r="H317">
        <v>413150</v>
      </c>
      <c r="I317">
        <v>23542</v>
      </c>
      <c r="J317">
        <v>788936</v>
      </c>
      <c r="K317">
        <v>906931</v>
      </c>
      <c r="L317">
        <v>30</v>
      </c>
      <c r="M317" t="s">
        <v>18</v>
      </c>
      <c r="N317">
        <v>3.2</v>
      </c>
    </row>
    <row r="318" spans="1:14" x14ac:dyDescent="0.35">
      <c r="A318" t="s">
        <v>563</v>
      </c>
      <c r="B318" t="s">
        <v>564</v>
      </c>
      <c r="C318" t="s">
        <v>39</v>
      </c>
      <c r="D318" t="s">
        <v>24</v>
      </c>
      <c r="E318">
        <v>165</v>
      </c>
      <c r="F318">
        <v>180</v>
      </c>
      <c r="G318">
        <v>91.67</v>
      </c>
      <c r="H318">
        <v>1059136</v>
      </c>
      <c r="I318">
        <v>18192</v>
      </c>
      <c r="J318">
        <v>1198401</v>
      </c>
      <c r="K318">
        <v>1674265</v>
      </c>
      <c r="L318">
        <v>20</v>
      </c>
      <c r="M318" t="s">
        <v>18</v>
      </c>
      <c r="N318">
        <v>4.0999999999999996</v>
      </c>
    </row>
    <row r="319" spans="1:14" x14ac:dyDescent="0.35">
      <c r="A319" t="s">
        <v>565</v>
      </c>
      <c r="B319" t="s">
        <v>540</v>
      </c>
      <c r="C319" t="s">
        <v>42</v>
      </c>
      <c r="D319" t="s">
        <v>24</v>
      </c>
      <c r="E319">
        <v>171</v>
      </c>
      <c r="F319">
        <v>180</v>
      </c>
      <c r="G319">
        <v>95</v>
      </c>
      <c r="H319">
        <v>617564</v>
      </c>
      <c r="I319">
        <v>51685</v>
      </c>
      <c r="J319">
        <v>873016</v>
      </c>
      <c r="K319">
        <v>1171685</v>
      </c>
      <c r="L319">
        <v>1</v>
      </c>
      <c r="M319" t="s">
        <v>33</v>
      </c>
      <c r="N319">
        <v>4.3</v>
      </c>
    </row>
    <row r="320" spans="1:14" x14ac:dyDescent="0.35">
      <c r="A320" t="s">
        <v>566</v>
      </c>
      <c r="B320" t="s">
        <v>129</v>
      </c>
      <c r="C320" t="s">
        <v>76</v>
      </c>
      <c r="D320" t="s">
        <v>17</v>
      </c>
      <c r="E320">
        <v>68</v>
      </c>
      <c r="F320">
        <v>78</v>
      </c>
      <c r="G320">
        <v>87.18</v>
      </c>
      <c r="H320">
        <v>261546</v>
      </c>
      <c r="I320">
        <v>45222</v>
      </c>
      <c r="J320">
        <v>625215</v>
      </c>
      <c r="K320">
        <v>1311539</v>
      </c>
      <c r="L320">
        <v>73</v>
      </c>
      <c r="M320" t="s">
        <v>18</v>
      </c>
      <c r="N320">
        <v>3.3</v>
      </c>
    </row>
    <row r="321" spans="1:14" x14ac:dyDescent="0.35">
      <c r="A321" t="s">
        <v>567</v>
      </c>
      <c r="B321" t="s">
        <v>26</v>
      </c>
      <c r="C321" t="s">
        <v>16</v>
      </c>
      <c r="D321" t="s">
        <v>24</v>
      </c>
      <c r="E321">
        <v>153</v>
      </c>
      <c r="F321">
        <v>180</v>
      </c>
      <c r="G321">
        <v>85</v>
      </c>
      <c r="H321">
        <v>1066754</v>
      </c>
      <c r="I321">
        <v>147758</v>
      </c>
      <c r="J321">
        <v>488501</v>
      </c>
      <c r="K321">
        <v>1101550</v>
      </c>
      <c r="L321">
        <v>22</v>
      </c>
      <c r="M321" t="s">
        <v>18</v>
      </c>
      <c r="N321">
        <v>4.4000000000000004</v>
      </c>
    </row>
    <row r="322" spans="1:14" x14ac:dyDescent="0.35">
      <c r="A322" t="s">
        <v>568</v>
      </c>
      <c r="B322" t="s">
        <v>569</v>
      </c>
      <c r="C322" t="s">
        <v>76</v>
      </c>
      <c r="D322" t="s">
        <v>43</v>
      </c>
      <c r="E322">
        <v>154</v>
      </c>
      <c r="F322">
        <v>232</v>
      </c>
      <c r="G322">
        <v>66.38</v>
      </c>
      <c r="H322">
        <v>1011925</v>
      </c>
      <c r="I322">
        <v>143421</v>
      </c>
      <c r="J322">
        <v>689640</v>
      </c>
      <c r="K322">
        <v>1373660</v>
      </c>
      <c r="L322">
        <v>15</v>
      </c>
      <c r="M322" t="s">
        <v>33</v>
      </c>
      <c r="N322">
        <v>4.5999999999999996</v>
      </c>
    </row>
    <row r="323" spans="1:14" x14ac:dyDescent="0.35">
      <c r="A323" t="s">
        <v>570</v>
      </c>
      <c r="B323" t="s">
        <v>571</v>
      </c>
      <c r="C323" t="s">
        <v>36</v>
      </c>
      <c r="D323" t="s">
        <v>43</v>
      </c>
      <c r="E323">
        <v>150</v>
      </c>
      <c r="F323">
        <v>232</v>
      </c>
      <c r="G323">
        <v>64.66</v>
      </c>
      <c r="H323">
        <v>1194805</v>
      </c>
      <c r="I323">
        <v>105200</v>
      </c>
      <c r="J323">
        <v>743672</v>
      </c>
      <c r="K323">
        <v>1211424</v>
      </c>
      <c r="L323">
        <v>14</v>
      </c>
      <c r="M323" t="s">
        <v>33</v>
      </c>
      <c r="N323">
        <v>4.3</v>
      </c>
    </row>
    <row r="324" spans="1:14" x14ac:dyDescent="0.35">
      <c r="A324" t="s">
        <v>572</v>
      </c>
      <c r="B324" t="s">
        <v>222</v>
      </c>
      <c r="C324" t="s">
        <v>76</v>
      </c>
      <c r="D324" t="s">
        <v>43</v>
      </c>
      <c r="E324">
        <v>180</v>
      </c>
      <c r="F324">
        <v>232</v>
      </c>
      <c r="G324">
        <v>77.59</v>
      </c>
      <c r="H324">
        <v>1591711</v>
      </c>
      <c r="I324">
        <v>78655</v>
      </c>
      <c r="J324">
        <v>1019432</v>
      </c>
      <c r="K324">
        <v>1672821</v>
      </c>
      <c r="L324">
        <v>41</v>
      </c>
      <c r="M324" t="s">
        <v>18</v>
      </c>
      <c r="N324">
        <v>4.7</v>
      </c>
    </row>
    <row r="325" spans="1:14" x14ac:dyDescent="0.35">
      <c r="A325" t="s">
        <v>573</v>
      </c>
      <c r="B325" t="s">
        <v>574</v>
      </c>
      <c r="C325" t="s">
        <v>16</v>
      </c>
      <c r="D325" t="s">
        <v>17</v>
      </c>
      <c r="E325">
        <v>46</v>
      </c>
      <c r="F325">
        <v>78</v>
      </c>
      <c r="G325">
        <v>58.97</v>
      </c>
      <c r="H325">
        <v>346027</v>
      </c>
      <c r="I325">
        <v>100632</v>
      </c>
      <c r="J325">
        <v>858364</v>
      </c>
      <c r="K325">
        <v>1404379</v>
      </c>
      <c r="L325">
        <v>90</v>
      </c>
      <c r="M325" t="s">
        <v>18</v>
      </c>
      <c r="N325">
        <v>4.5</v>
      </c>
    </row>
    <row r="326" spans="1:14" x14ac:dyDescent="0.35">
      <c r="A326" t="s">
        <v>575</v>
      </c>
      <c r="B326" t="s">
        <v>576</v>
      </c>
      <c r="C326" t="s">
        <v>21</v>
      </c>
      <c r="D326" t="s">
        <v>43</v>
      </c>
      <c r="E326">
        <v>181</v>
      </c>
      <c r="F326">
        <v>232</v>
      </c>
      <c r="G326">
        <v>78.02</v>
      </c>
      <c r="H326">
        <v>664712</v>
      </c>
      <c r="I326">
        <v>52119</v>
      </c>
      <c r="J326">
        <v>603685</v>
      </c>
      <c r="K326">
        <v>725579</v>
      </c>
      <c r="L326">
        <v>22</v>
      </c>
      <c r="M326" t="s">
        <v>18</v>
      </c>
      <c r="N326">
        <v>3.2</v>
      </c>
    </row>
    <row r="327" spans="1:14" x14ac:dyDescent="0.35">
      <c r="A327" t="s">
        <v>577</v>
      </c>
      <c r="B327" t="s">
        <v>395</v>
      </c>
      <c r="C327" t="s">
        <v>36</v>
      </c>
      <c r="D327" t="s">
        <v>17</v>
      </c>
      <c r="E327">
        <v>71</v>
      </c>
      <c r="F327">
        <v>78</v>
      </c>
      <c r="G327">
        <v>91.03</v>
      </c>
      <c r="H327">
        <v>419403</v>
      </c>
      <c r="I327">
        <v>147869</v>
      </c>
      <c r="J327">
        <v>982801</v>
      </c>
      <c r="K327">
        <v>1177891</v>
      </c>
      <c r="L327">
        <v>9</v>
      </c>
      <c r="M327" t="s">
        <v>33</v>
      </c>
      <c r="N327">
        <v>3.8</v>
      </c>
    </row>
    <row r="328" spans="1:14" x14ac:dyDescent="0.35">
      <c r="A328" t="s">
        <v>578</v>
      </c>
      <c r="B328" t="s">
        <v>579</v>
      </c>
      <c r="C328" t="s">
        <v>32</v>
      </c>
      <c r="D328" t="s">
        <v>24</v>
      </c>
      <c r="E328">
        <v>149</v>
      </c>
      <c r="F328">
        <v>180</v>
      </c>
      <c r="G328">
        <v>82.78</v>
      </c>
      <c r="H328">
        <v>1217669</v>
      </c>
      <c r="I328">
        <v>118740</v>
      </c>
      <c r="J328">
        <v>647330</v>
      </c>
      <c r="K328">
        <v>868077</v>
      </c>
      <c r="L328">
        <v>22</v>
      </c>
      <c r="M328" t="s">
        <v>18</v>
      </c>
      <c r="N328">
        <v>4.0999999999999996</v>
      </c>
    </row>
    <row r="329" spans="1:14" x14ac:dyDescent="0.35">
      <c r="A329" t="s">
        <v>580</v>
      </c>
      <c r="B329" t="s">
        <v>512</v>
      </c>
      <c r="C329" t="s">
        <v>32</v>
      </c>
      <c r="D329" t="s">
        <v>43</v>
      </c>
      <c r="E329">
        <v>210</v>
      </c>
      <c r="F329">
        <v>232</v>
      </c>
      <c r="G329">
        <v>90.52</v>
      </c>
      <c r="H329">
        <v>1193658</v>
      </c>
      <c r="I329">
        <v>44871</v>
      </c>
      <c r="J329">
        <v>1164237</v>
      </c>
      <c r="K329">
        <v>1564845</v>
      </c>
      <c r="L329">
        <v>18</v>
      </c>
      <c r="M329" t="s">
        <v>18</v>
      </c>
      <c r="N329">
        <v>4.8</v>
      </c>
    </row>
    <row r="330" spans="1:14" x14ac:dyDescent="0.35">
      <c r="A330" t="s">
        <v>581</v>
      </c>
      <c r="B330" t="s">
        <v>65</v>
      </c>
      <c r="C330" t="s">
        <v>32</v>
      </c>
      <c r="D330" t="s">
        <v>17</v>
      </c>
      <c r="E330">
        <v>53</v>
      </c>
      <c r="F330">
        <v>78</v>
      </c>
      <c r="G330">
        <v>67.95</v>
      </c>
      <c r="H330">
        <v>202659</v>
      </c>
      <c r="I330">
        <v>42464</v>
      </c>
      <c r="J330">
        <v>378084</v>
      </c>
      <c r="K330">
        <v>678474</v>
      </c>
      <c r="L330">
        <v>20</v>
      </c>
      <c r="M330" t="s">
        <v>18</v>
      </c>
      <c r="N330">
        <v>4.7</v>
      </c>
    </row>
    <row r="331" spans="1:14" x14ac:dyDescent="0.35">
      <c r="A331" t="s">
        <v>582</v>
      </c>
      <c r="B331" t="s">
        <v>583</v>
      </c>
      <c r="C331" t="s">
        <v>39</v>
      </c>
      <c r="D331" t="s">
        <v>24</v>
      </c>
      <c r="E331">
        <v>152</v>
      </c>
      <c r="F331">
        <v>180</v>
      </c>
      <c r="G331">
        <v>84.44</v>
      </c>
      <c r="H331">
        <v>951386</v>
      </c>
      <c r="I331">
        <v>130636</v>
      </c>
      <c r="J331">
        <v>919637</v>
      </c>
      <c r="K331">
        <v>1212042</v>
      </c>
      <c r="L331">
        <v>81</v>
      </c>
      <c r="M331" t="s">
        <v>18</v>
      </c>
      <c r="N331">
        <v>3.6</v>
      </c>
    </row>
    <row r="332" spans="1:14" x14ac:dyDescent="0.35">
      <c r="A332" t="s">
        <v>584</v>
      </c>
      <c r="B332" t="s">
        <v>224</v>
      </c>
      <c r="C332" t="s">
        <v>39</v>
      </c>
      <c r="D332" t="s">
        <v>17</v>
      </c>
      <c r="E332">
        <v>62</v>
      </c>
      <c r="F332">
        <v>78</v>
      </c>
      <c r="G332">
        <v>79.489999999999995</v>
      </c>
      <c r="H332">
        <v>302006</v>
      </c>
      <c r="I332">
        <v>144104</v>
      </c>
      <c r="J332">
        <v>369063</v>
      </c>
      <c r="K332">
        <v>516301</v>
      </c>
      <c r="L332">
        <v>19</v>
      </c>
      <c r="M332" t="s">
        <v>18</v>
      </c>
      <c r="N332">
        <v>4.0999999999999996</v>
      </c>
    </row>
    <row r="333" spans="1:14" x14ac:dyDescent="0.35">
      <c r="A333" t="s">
        <v>585</v>
      </c>
      <c r="B333" t="s">
        <v>226</v>
      </c>
      <c r="C333" t="s">
        <v>42</v>
      </c>
      <c r="D333" t="s">
        <v>17</v>
      </c>
      <c r="E333">
        <v>68</v>
      </c>
      <c r="F333">
        <v>78</v>
      </c>
      <c r="G333">
        <v>87.18</v>
      </c>
      <c r="H333">
        <v>383261</v>
      </c>
      <c r="I333">
        <v>57527</v>
      </c>
      <c r="J333">
        <v>273280</v>
      </c>
      <c r="K333">
        <v>697053</v>
      </c>
      <c r="L333">
        <v>40</v>
      </c>
      <c r="M333" t="s">
        <v>18</v>
      </c>
      <c r="N333">
        <v>3.6</v>
      </c>
    </row>
    <row r="334" spans="1:14" x14ac:dyDescent="0.35">
      <c r="A334" t="s">
        <v>586</v>
      </c>
      <c r="B334" t="s">
        <v>134</v>
      </c>
      <c r="C334" t="s">
        <v>59</v>
      </c>
      <c r="D334" t="s">
        <v>17</v>
      </c>
      <c r="E334">
        <v>61</v>
      </c>
      <c r="F334">
        <v>78</v>
      </c>
      <c r="G334">
        <v>78.209999999999994</v>
      </c>
      <c r="H334">
        <v>516541</v>
      </c>
      <c r="I334">
        <v>42621</v>
      </c>
      <c r="J334">
        <v>528625</v>
      </c>
      <c r="K334">
        <v>699284</v>
      </c>
      <c r="L334">
        <v>0</v>
      </c>
      <c r="M334" t="s">
        <v>33</v>
      </c>
      <c r="N334">
        <v>4</v>
      </c>
    </row>
    <row r="335" spans="1:14" x14ac:dyDescent="0.35">
      <c r="A335" t="s">
        <v>587</v>
      </c>
      <c r="B335" t="s">
        <v>588</v>
      </c>
      <c r="C335" t="s">
        <v>29</v>
      </c>
      <c r="D335" t="s">
        <v>43</v>
      </c>
      <c r="E335">
        <v>201</v>
      </c>
      <c r="F335">
        <v>232</v>
      </c>
      <c r="G335">
        <v>86.64</v>
      </c>
      <c r="H335">
        <v>1044828</v>
      </c>
      <c r="I335">
        <v>69059</v>
      </c>
      <c r="J335">
        <v>1003158</v>
      </c>
      <c r="K335">
        <v>1555907</v>
      </c>
      <c r="L335">
        <v>32</v>
      </c>
      <c r="M335" t="s">
        <v>18</v>
      </c>
      <c r="N335">
        <v>4.4000000000000004</v>
      </c>
    </row>
    <row r="336" spans="1:14" x14ac:dyDescent="0.35">
      <c r="A336" t="s">
        <v>589</v>
      </c>
      <c r="B336" t="s">
        <v>195</v>
      </c>
      <c r="C336" t="s">
        <v>42</v>
      </c>
      <c r="D336" t="s">
        <v>17</v>
      </c>
      <c r="E336">
        <v>62</v>
      </c>
      <c r="F336">
        <v>78</v>
      </c>
      <c r="G336">
        <v>79.489999999999995</v>
      </c>
      <c r="H336">
        <v>417357</v>
      </c>
      <c r="I336">
        <v>141457</v>
      </c>
      <c r="J336">
        <v>318572</v>
      </c>
      <c r="K336">
        <v>977134</v>
      </c>
      <c r="L336">
        <v>69</v>
      </c>
      <c r="M336" t="s">
        <v>18</v>
      </c>
      <c r="N336">
        <v>4.7</v>
      </c>
    </row>
    <row r="337" spans="1:14" x14ac:dyDescent="0.35">
      <c r="A337" t="s">
        <v>590</v>
      </c>
      <c r="B337" t="s">
        <v>591</v>
      </c>
      <c r="C337" t="s">
        <v>21</v>
      </c>
      <c r="D337" t="s">
        <v>17</v>
      </c>
      <c r="E337">
        <v>53</v>
      </c>
      <c r="F337">
        <v>78</v>
      </c>
      <c r="G337">
        <v>67.95</v>
      </c>
      <c r="H337">
        <v>467368</v>
      </c>
      <c r="I337">
        <v>80937</v>
      </c>
      <c r="J337">
        <v>449455</v>
      </c>
      <c r="K337">
        <v>1146918</v>
      </c>
      <c r="L337">
        <v>60</v>
      </c>
      <c r="M337" t="s">
        <v>18</v>
      </c>
      <c r="N337">
        <v>4.4000000000000004</v>
      </c>
    </row>
    <row r="338" spans="1:14" x14ac:dyDescent="0.35">
      <c r="A338" t="s">
        <v>592</v>
      </c>
      <c r="B338" t="s">
        <v>84</v>
      </c>
      <c r="C338" t="s">
        <v>21</v>
      </c>
      <c r="D338" t="s">
        <v>24</v>
      </c>
      <c r="E338">
        <v>108</v>
      </c>
      <c r="F338">
        <v>180</v>
      </c>
      <c r="G338">
        <v>60</v>
      </c>
      <c r="H338">
        <v>651680</v>
      </c>
      <c r="I338">
        <v>32453</v>
      </c>
      <c r="J338">
        <v>883268</v>
      </c>
      <c r="K338">
        <v>1387781</v>
      </c>
      <c r="L338">
        <v>30</v>
      </c>
      <c r="M338" t="s">
        <v>18</v>
      </c>
      <c r="N338">
        <v>4.8</v>
      </c>
    </row>
    <row r="339" spans="1:14" x14ac:dyDescent="0.35">
      <c r="A339" t="s">
        <v>593</v>
      </c>
      <c r="B339" t="s">
        <v>594</v>
      </c>
      <c r="C339" t="s">
        <v>76</v>
      </c>
      <c r="D339" t="s">
        <v>43</v>
      </c>
      <c r="E339">
        <v>164</v>
      </c>
      <c r="F339">
        <v>232</v>
      </c>
      <c r="G339">
        <v>70.69</v>
      </c>
      <c r="H339">
        <v>585587</v>
      </c>
      <c r="I339">
        <v>134436</v>
      </c>
      <c r="J339">
        <v>405241</v>
      </c>
      <c r="K339">
        <v>907650</v>
      </c>
      <c r="L339">
        <v>17</v>
      </c>
      <c r="M339" t="s">
        <v>18</v>
      </c>
      <c r="N339">
        <v>3.3</v>
      </c>
    </row>
    <row r="340" spans="1:14" x14ac:dyDescent="0.35">
      <c r="A340" t="s">
        <v>595</v>
      </c>
      <c r="B340" t="s">
        <v>596</v>
      </c>
      <c r="C340" t="s">
        <v>59</v>
      </c>
      <c r="D340" t="s">
        <v>24</v>
      </c>
      <c r="E340">
        <v>110</v>
      </c>
      <c r="F340">
        <v>180</v>
      </c>
      <c r="G340">
        <v>61.11</v>
      </c>
      <c r="H340">
        <v>451692</v>
      </c>
      <c r="I340">
        <v>61129</v>
      </c>
      <c r="J340">
        <v>1189921</v>
      </c>
      <c r="K340">
        <v>1580626</v>
      </c>
      <c r="L340">
        <v>25</v>
      </c>
      <c r="M340" t="s">
        <v>18</v>
      </c>
      <c r="N340">
        <v>4</v>
      </c>
    </row>
    <row r="341" spans="1:14" x14ac:dyDescent="0.35">
      <c r="A341" t="s">
        <v>597</v>
      </c>
      <c r="B341" t="s">
        <v>348</v>
      </c>
      <c r="C341" t="s">
        <v>32</v>
      </c>
      <c r="D341" t="s">
        <v>24</v>
      </c>
      <c r="E341">
        <v>135</v>
      </c>
      <c r="F341">
        <v>180</v>
      </c>
      <c r="G341">
        <v>75</v>
      </c>
      <c r="H341">
        <v>1191799</v>
      </c>
      <c r="I341">
        <v>104044</v>
      </c>
      <c r="J341">
        <v>1047993</v>
      </c>
      <c r="K341">
        <v>1608682</v>
      </c>
      <c r="L341">
        <v>52</v>
      </c>
      <c r="M341" t="s">
        <v>18</v>
      </c>
      <c r="N341">
        <v>3.4</v>
      </c>
    </row>
    <row r="342" spans="1:14" x14ac:dyDescent="0.35">
      <c r="A342" t="s">
        <v>598</v>
      </c>
      <c r="B342" t="s">
        <v>599</v>
      </c>
      <c r="C342" t="s">
        <v>117</v>
      </c>
      <c r="D342" t="s">
        <v>24</v>
      </c>
      <c r="E342">
        <v>158</v>
      </c>
      <c r="F342">
        <v>180</v>
      </c>
      <c r="G342">
        <v>87.78</v>
      </c>
      <c r="H342">
        <v>1135847</v>
      </c>
      <c r="I342">
        <v>131047</v>
      </c>
      <c r="J342">
        <v>750753</v>
      </c>
      <c r="K342">
        <v>1101561</v>
      </c>
      <c r="L342">
        <v>63</v>
      </c>
      <c r="M342" t="s">
        <v>18</v>
      </c>
      <c r="N342">
        <v>4.5</v>
      </c>
    </row>
    <row r="343" spans="1:14" x14ac:dyDescent="0.35">
      <c r="A343" t="s">
        <v>600</v>
      </c>
      <c r="B343" t="s">
        <v>571</v>
      </c>
      <c r="C343" t="s">
        <v>76</v>
      </c>
      <c r="D343" t="s">
        <v>24</v>
      </c>
      <c r="E343">
        <v>117</v>
      </c>
      <c r="F343">
        <v>180</v>
      </c>
      <c r="G343">
        <v>65</v>
      </c>
      <c r="H343">
        <v>448322</v>
      </c>
      <c r="I343">
        <v>132631</v>
      </c>
      <c r="J343">
        <v>1137018</v>
      </c>
      <c r="K343">
        <v>1645959</v>
      </c>
      <c r="L343">
        <v>19</v>
      </c>
      <c r="M343" t="s">
        <v>18</v>
      </c>
      <c r="N343">
        <v>4.0999999999999996</v>
      </c>
    </row>
    <row r="344" spans="1:14" x14ac:dyDescent="0.35">
      <c r="A344" t="s">
        <v>601</v>
      </c>
      <c r="B344" t="s">
        <v>333</v>
      </c>
      <c r="C344" t="s">
        <v>29</v>
      </c>
      <c r="D344" t="s">
        <v>43</v>
      </c>
      <c r="E344">
        <v>202</v>
      </c>
      <c r="F344">
        <v>232</v>
      </c>
      <c r="G344">
        <v>87.07</v>
      </c>
      <c r="H344">
        <v>1258639</v>
      </c>
      <c r="I344">
        <v>126996</v>
      </c>
      <c r="J344">
        <v>529018</v>
      </c>
      <c r="K344">
        <v>738317</v>
      </c>
      <c r="L344">
        <v>43</v>
      </c>
      <c r="M344" t="s">
        <v>18</v>
      </c>
      <c r="N344">
        <v>4.0999999999999996</v>
      </c>
    </row>
    <row r="345" spans="1:14" x14ac:dyDescent="0.35">
      <c r="A345" t="s">
        <v>602</v>
      </c>
      <c r="B345" t="s">
        <v>376</v>
      </c>
      <c r="C345" t="s">
        <v>16</v>
      </c>
      <c r="D345" t="s">
        <v>17</v>
      </c>
      <c r="E345">
        <v>48</v>
      </c>
      <c r="F345">
        <v>78</v>
      </c>
      <c r="G345">
        <v>61.54</v>
      </c>
      <c r="H345">
        <v>282104</v>
      </c>
      <c r="I345">
        <v>113808</v>
      </c>
      <c r="J345">
        <v>1073280</v>
      </c>
      <c r="K345">
        <v>1736878</v>
      </c>
      <c r="L345">
        <v>45</v>
      </c>
      <c r="M345" t="s">
        <v>18</v>
      </c>
      <c r="N345">
        <v>4.5999999999999996</v>
      </c>
    </row>
    <row r="346" spans="1:14" x14ac:dyDescent="0.35">
      <c r="A346" t="s">
        <v>603</v>
      </c>
      <c r="B346" t="s">
        <v>270</v>
      </c>
      <c r="C346" t="s">
        <v>39</v>
      </c>
      <c r="D346" t="s">
        <v>43</v>
      </c>
      <c r="E346">
        <v>195</v>
      </c>
      <c r="F346">
        <v>232</v>
      </c>
      <c r="G346">
        <v>84.05</v>
      </c>
      <c r="H346">
        <v>1659878</v>
      </c>
      <c r="I346">
        <v>104254</v>
      </c>
      <c r="J346">
        <v>934935</v>
      </c>
      <c r="K346">
        <v>1599369</v>
      </c>
      <c r="L346">
        <v>19</v>
      </c>
      <c r="M346" t="s">
        <v>18</v>
      </c>
      <c r="N346">
        <v>3.3</v>
      </c>
    </row>
    <row r="347" spans="1:14" x14ac:dyDescent="0.35">
      <c r="A347" t="s">
        <v>604</v>
      </c>
      <c r="B347" t="s">
        <v>562</v>
      </c>
      <c r="C347" t="s">
        <v>32</v>
      </c>
      <c r="D347" t="s">
        <v>17</v>
      </c>
      <c r="E347">
        <v>63</v>
      </c>
      <c r="F347">
        <v>78</v>
      </c>
      <c r="G347">
        <v>80.77</v>
      </c>
      <c r="H347">
        <v>224361</v>
      </c>
      <c r="I347">
        <v>83070</v>
      </c>
      <c r="J347">
        <v>702180</v>
      </c>
      <c r="K347">
        <v>1102518</v>
      </c>
      <c r="L347">
        <v>56</v>
      </c>
      <c r="M347" t="s">
        <v>18</v>
      </c>
      <c r="N347">
        <v>4</v>
      </c>
    </row>
    <row r="348" spans="1:14" x14ac:dyDescent="0.35">
      <c r="A348" t="s">
        <v>605</v>
      </c>
      <c r="B348" t="s">
        <v>373</v>
      </c>
      <c r="C348" t="s">
        <v>29</v>
      </c>
      <c r="D348" t="s">
        <v>24</v>
      </c>
      <c r="E348">
        <v>133</v>
      </c>
      <c r="F348">
        <v>180</v>
      </c>
      <c r="G348">
        <v>73.89</v>
      </c>
      <c r="H348">
        <v>588820</v>
      </c>
      <c r="I348">
        <v>96800</v>
      </c>
      <c r="J348">
        <v>752115</v>
      </c>
      <c r="K348">
        <v>1321273</v>
      </c>
      <c r="L348">
        <v>8</v>
      </c>
      <c r="M348" t="s">
        <v>33</v>
      </c>
      <c r="N348">
        <v>4.7</v>
      </c>
    </row>
    <row r="349" spans="1:14" x14ac:dyDescent="0.35">
      <c r="A349" t="s">
        <v>606</v>
      </c>
      <c r="B349" t="s">
        <v>607</v>
      </c>
      <c r="C349" t="s">
        <v>76</v>
      </c>
      <c r="D349" t="s">
        <v>24</v>
      </c>
      <c r="E349">
        <v>113</v>
      </c>
      <c r="F349">
        <v>180</v>
      </c>
      <c r="G349">
        <v>62.78</v>
      </c>
      <c r="H349">
        <v>911057</v>
      </c>
      <c r="I349">
        <v>33054</v>
      </c>
      <c r="J349">
        <v>733723</v>
      </c>
      <c r="K349">
        <v>1354582</v>
      </c>
      <c r="L349">
        <v>14</v>
      </c>
      <c r="M349" t="s">
        <v>33</v>
      </c>
      <c r="N349">
        <v>4</v>
      </c>
    </row>
    <row r="350" spans="1:14" x14ac:dyDescent="0.35">
      <c r="A350" t="s">
        <v>608</v>
      </c>
      <c r="B350" t="s">
        <v>426</v>
      </c>
      <c r="C350" t="s">
        <v>76</v>
      </c>
      <c r="D350" t="s">
        <v>24</v>
      </c>
      <c r="E350">
        <v>149</v>
      </c>
      <c r="F350">
        <v>180</v>
      </c>
      <c r="G350">
        <v>82.78</v>
      </c>
      <c r="H350">
        <v>550387</v>
      </c>
      <c r="I350">
        <v>120834</v>
      </c>
      <c r="J350">
        <v>522360</v>
      </c>
      <c r="K350">
        <v>663879</v>
      </c>
      <c r="L350">
        <v>81</v>
      </c>
      <c r="M350" t="s">
        <v>18</v>
      </c>
      <c r="N350">
        <v>4.5</v>
      </c>
    </row>
    <row r="351" spans="1:14" x14ac:dyDescent="0.35">
      <c r="A351" t="s">
        <v>609</v>
      </c>
      <c r="B351" t="s">
        <v>610</v>
      </c>
      <c r="C351" t="s">
        <v>42</v>
      </c>
      <c r="D351" t="s">
        <v>17</v>
      </c>
      <c r="E351">
        <v>69</v>
      </c>
      <c r="F351">
        <v>78</v>
      </c>
      <c r="G351">
        <v>88.46</v>
      </c>
      <c r="H351">
        <v>363869</v>
      </c>
      <c r="I351">
        <v>75226</v>
      </c>
      <c r="J351">
        <v>828150</v>
      </c>
      <c r="K351">
        <v>1452138</v>
      </c>
      <c r="L351">
        <v>31</v>
      </c>
      <c r="M351" t="s">
        <v>18</v>
      </c>
      <c r="N351">
        <v>4.5999999999999996</v>
      </c>
    </row>
    <row r="352" spans="1:14" x14ac:dyDescent="0.35">
      <c r="A352" t="s">
        <v>611</v>
      </c>
      <c r="B352" t="s">
        <v>612</v>
      </c>
      <c r="C352" t="s">
        <v>76</v>
      </c>
      <c r="D352" t="s">
        <v>24</v>
      </c>
      <c r="E352">
        <v>156</v>
      </c>
      <c r="F352">
        <v>180</v>
      </c>
      <c r="G352">
        <v>86.67</v>
      </c>
      <c r="H352">
        <v>1242166</v>
      </c>
      <c r="I352">
        <v>72626</v>
      </c>
      <c r="J352">
        <v>341087</v>
      </c>
      <c r="K352">
        <v>799620</v>
      </c>
      <c r="L352">
        <v>15</v>
      </c>
      <c r="M352" t="s">
        <v>33</v>
      </c>
      <c r="N352">
        <v>3.5</v>
      </c>
    </row>
    <row r="353" spans="1:14" x14ac:dyDescent="0.35">
      <c r="A353" t="s">
        <v>613</v>
      </c>
      <c r="B353" t="s">
        <v>517</v>
      </c>
      <c r="C353" t="s">
        <v>39</v>
      </c>
      <c r="D353" t="s">
        <v>24</v>
      </c>
      <c r="E353">
        <v>171</v>
      </c>
      <c r="F353">
        <v>180</v>
      </c>
      <c r="G353">
        <v>95</v>
      </c>
      <c r="H353">
        <v>1025563</v>
      </c>
      <c r="I353">
        <v>123793</v>
      </c>
      <c r="J353">
        <v>1174426</v>
      </c>
      <c r="K353">
        <v>1508241</v>
      </c>
      <c r="L353">
        <v>79</v>
      </c>
      <c r="M353" t="s">
        <v>18</v>
      </c>
      <c r="N353">
        <v>4.4000000000000004</v>
      </c>
    </row>
    <row r="354" spans="1:14" x14ac:dyDescent="0.35">
      <c r="A354" t="s">
        <v>614</v>
      </c>
      <c r="B354" t="s">
        <v>452</v>
      </c>
      <c r="C354" t="s">
        <v>42</v>
      </c>
      <c r="D354" t="s">
        <v>24</v>
      </c>
      <c r="E354">
        <v>120</v>
      </c>
      <c r="F354">
        <v>180</v>
      </c>
      <c r="G354">
        <v>66.67</v>
      </c>
      <c r="H354">
        <v>816244</v>
      </c>
      <c r="I354">
        <v>139897</v>
      </c>
      <c r="J354">
        <v>1098070</v>
      </c>
      <c r="K354">
        <v>1296308</v>
      </c>
      <c r="L354">
        <v>59</v>
      </c>
      <c r="M354" t="s">
        <v>18</v>
      </c>
      <c r="N354">
        <v>3.5</v>
      </c>
    </row>
    <row r="355" spans="1:14" x14ac:dyDescent="0.35">
      <c r="A355" t="s">
        <v>615</v>
      </c>
      <c r="B355" t="s">
        <v>538</v>
      </c>
      <c r="C355" t="s">
        <v>76</v>
      </c>
      <c r="D355" t="s">
        <v>24</v>
      </c>
      <c r="E355">
        <v>159</v>
      </c>
      <c r="F355">
        <v>180</v>
      </c>
      <c r="G355">
        <v>88.33</v>
      </c>
      <c r="H355">
        <v>966763</v>
      </c>
      <c r="I355">
        <v>117141</v>
      </c>
      <c r="J355">
        <v>756982</v>
      </c>
      <c r="K355">
        <v>1405617</v>
      </c>
      <c r="L355">
        <v>69</v>
      </c>
      <c r="M355" t="s">
        <v>18</v>
      </c>
      <c r="N355">
        <v>4.5</v>
      </c>
    </row>
    <row r="356" spans="1:14" x14ac:dyDescent="0.35">
      <c r="A356" t="s">
        <v>616</v>
      </c>
      <c r="B356" t="s">
        <v>617</v>
      </c>
      <c r="C356" t="s">
        <v>42</v>
      </c>
      <c r="D356" t="s">
        <v>17</v>
      </c>
      <c r="E356">
        <v>61</v>
      </c>
      <c r="F356">
        <v>78</v>
      </c>
      <c r="G356">
        <v>78.209999999999994</v>
      </c>
      <c r="H356">
        <v>419937</v>
      </c>
      <c r="I356">
        <v>60916</v>
      </c>
      <c r="J356">
        <v>413269</v>
      </c>
      <c r="K356">
        <v>843508</v>
      </c>
      <c r="L356">
        <v>29</v>
      </c>
      <c r="M356" t="s">
        <v>18</v>
      </c>
      <c r="N356">
        <v>4.7</v>
      </c>
    </row>
    <row r="357" spans="1:14" x14ac:dyDescent="0.35">
      <c r="A357" t="s">
        <v>618</v>
      </c>
      <c r="B357" t="s">
        <v>344</v>
      </c>
      <c r="C357" t="s">
        <v>39</v>
      </c>
      <c r="D357" t="s">
        <v>17</v>
      </c>
      <c r="E357">
        <v>55</v>
      </c>
      <c r="F357">
        <v>78</v>
      </c>
      <c r="G357">
        <v>70.510000000000005</v>
      </c>
      <c r="H357">
        <v>237213</v>
      </c>
      <c r="I357">
        <v>141626</v>
      </c>
      <c r="J357">
        <v>498553</v>
      </c>
      <c r="K357">
        <v>1188842</v>
      </c>
      <c r="L357">
        <v>83</v>
      </c>
      <c r="M357" t="s">
        <v>18</v>
      </c>
      <c r="N357">
        <v>3.3</v>
      </c>
    </row>
    <row r="358" spans="1:14" x14ac:dyDescent="0.35">
      <c r="A358" t="s">
        <v>619</v>
      </c>
      <c r="B358" t="s">
        <v>620</v>
      </c>
      <c r="C358" t="s">
        <v>36</v>
      </c>
      <c r="D358" t="s">
        <v>17</v>
      </c>
      <c r="E358">
        <v>65</v>
      </c>
      <c r="F358">
        <v>78</v>
      </c>
      <c r="G358">
        <v>83.33</v>
      </c>
      <c r="H358">
        <v>231143</v>
      </c>
      <c r="I358">
        <v>36026</v>
      </c>
      <c r="J358">
        <v>513516</v>
      </c>
      <c r="K358">
        <v>773919</v>
      </c>
      <c r="L358">
        <v>53</v>
      </c>
      <c r="M358" t="s">
        <v>18</v>
      </c>
      <c r="N358">
        <v>4.3</v>
      </c>
    </row>
    <row r="359" spans="1:14" x14ac:dyDescent="0.35">
      <c r="A359" t="s">
        <v>621</v>
      </c>
      <c r="B359" t="s">
        <v>352</v>
      </c>
      <c r="C359" t="s">
        <v>32</v>
      </c>
      <c r="D359" t="s">
        <v>43</v>
      </c>
      <c r="E359">
        <v>146</v>
      </c>
      <c r="F359">
        <v>232</v>
      </c>
      <c r="G359">
        <v>62.93</v>
      </c>
      <c r="H359">
        <v>599695</v>
      </c>
      <c r="I359">
        <v>65442</v>
      </c>
      <c r="J359">
        <v>505613</v>
      </c>
      <c r="K359">
        <v>739544</v>
      </c>
      <c r="L359">
        <v>33</v>
      </c>
      <c r="M359" t="s">
        <v>18</v>
      </c>
      <c r="N359">
        <v>4.4000000000000004</v>
      </c>
    </row>
    <row r="360" spans="1:14" x14ac:dyDescent="0.35">
      <c r="A360" t="s">
        <v>622</v>
      </c>
      <c r="B360" t="s">
        <v>78</v>
      </c>
      <c r="C360" t="s">
        <v>29</v>
      </c>
      <c r="D360" t="s">
        <v>43</v>
      </c>
      <c r="E360">
        <v>203</v>
      </c>
      <c r="F360">
        <v>232</v>
      </c>
      <c r="G360">
        <v>87.5</v>
      </c>
      <c r="H360">
        <v>1538717</v>
      </c>
      <c r="I360">
        <v>42137</v>
      </c>
      <c r="J360">
        <v>980103</v>
      </c>
      <c r="K360">
        <v>1292681</v>
      </c>
      <c r="L360">
        <v>40</v>
      </c>
      <c r="M360" t="s">
        <v>18</v>
      </c>
      <c r="N360">
        <v>4.5</v>
      </c>
    </row>
    <row r="361" spans="1:14" x14ac:dyDescent="0.35">
      <c r="A361" t="s">
        <v>623</v>
      </c>
      <c r="B361" t="s">
        <v>393</v>
      </c>
      <c r="C361" t="s">
        <v>76</v>
      </c>
      <c r="D361" t="s">
        <v>17</v>
      </c>
      <c r="E361">
        <v>57</v>
      </c>
      <c r="F361">
        <v>78</v>
      </c>
      <c r="G361">
        <v>73.08</v>
      </c>
      <c r="H361">
        <v>366100</v>
      </c>
      <c r="I361">
        <v>79000</v>
      </c>
      <c r="J361">
        <v>279995</v>
      </c>
      <c r="K361">
        <v>948353</v>
      </c>
      <c r="L361">
        <v>55</v>
      </c>
      <c r="M361" t="s">
        <v>18</v>
      </c>
      <c r="N361">
        <v>4.5</v>
      </c>
    </row>
    <row r="362" spans="1:14" x14ac:dyDescent="0.35">
      <c r="A362" t="s">
        <v>624</v>
      </c>
      <c r="B362" t="s">
        <v>625</v>
      </c>
      <c r="C362" t="s">
        <v>39</v>
      </c>
      <c r="D362" t="s">
        <v>43</v>
      </c>
      <c r="E362">
        <v>216</v>
      </c>
      <c r="F362">
        <v>232</v>
      </c>
      <c r="G362">
        <v>93.1</v>
      </c>
      <c r="H362">
        <v>1099834</v>
      </c>
      <c r="I362">
        <v>15307</v>
      </c>
      <c r="J362">
        <v>825439</v>
      </c>
      <c r="K362">
        <v>1026977</v>
      </c>
      <c r="L362">
        <v>37</v>
      </c>
      <c r="M362" t="s">
        <v>18</v>
      </c>
      <c r="N362">
        <v>3.8</v>
      </c>
    </row>
    <row r="363" spans="1:14" x14ac:dyDescent="0.35">
      <c r="A363" t="s">
        <v>626</v>
      </c>
      <c r="B363" t="s">
        <v>132</v>
      </c>
      <c r="C363" t="s">
        <v>117</v>
      </c>
      <c r="D363" t="s">
        <v>17</v>
      </c>
      <c r="E363">
        <v>56</v>
      </c>
      <c r="F363">
        <v>78</v>
      </c>
      <c r="G363">
        <v>71.790000000000006</v>
      </c>
      <c r="H363">
        <v>381408</v>
      </c>
      <c r="I363">
        <v>32100</v>
      </c>
      <c r="J363">
        <v>449505</v>
      </c>
      <c r="K363">
        <v>621391</v>
      </c>
      <c r="L363">
        <v>23</v>
      </c>
      <c r="M363" t="s">
        <v>18</v>
      </c>
      <c r="N363">
        <v>4.7</v>
      </c>
    </row>
    <row r="364" spans="1:14" x14ac:dyDescent="0.35">
      <c r="A364" t="s">
        <v>627</v>
      </c>
      <c r="B364" t="s">
        <v>628</v>
      </c>
      <c r="C364" t="s">
        <v>16</v>
      </c>
      <c r="D364" t="s">
        <v>17</v>
      </c>
      <c r="E364">
        <v>47</v>
      </c>
      <c r="F364">
        <v>78</v>
      </c>
      <c r="G364">
        <v>60.26</v>
      </c>
      <c r="H364">
        <v>306973</v>
      </c>
      <c r="I364">
        <v>75977</v>
      </c>
      <c r="J364">
        <v>432648</v>
      </c>
      <c r="K364">
        <v>1130800</v>
      </c>
      <c r="L364">
        <v>60</v>
      </c>
      <c r="M364" t="s">
        <v>18</v>
      </c>
      <c r="N364">
        <v>3.2</v>
      </c>
    </row>
    <row r="365" spans="1:14" x14ac:dyDescent="0.35">
      <c r="A365" t="s">
        <v>629</v>
      </c>
      <c r="B365" t="s">
        <v>239</v>
      </c>
      <c r="C365" t="s">
        <v>117</v>
      </c>
      <c r="D365" t="s">
        <v>24</v>
      </c>
      <c r="E365">
        <v>122</v>
      </c>
      <c r="F365">
        <v>180</v>
      </c>
      <c r="G365">
        <v>67.78</v>
      </c>
      <c r="H365">
        <v>496321</v>
      </c>
      <c r="I365">
        <v>53367</v>
      </c>
      <c r="J365">
        <v>475818</v>
      </c>
      <c r="K365">
        <v>593968</v>
      </c>
      <c r="L365">
        <v>76</v>
      </c>
      <c r="M365" t="s">
        <v>18</v>
      </c>
      <c r="N365">
        <v>4.3</v>
      </c>
    </row>
    <row r="366" spans="1:14" x14ac:dyDescent="0.35">
      <c r="A366" t="s">
        <v>630</v>
      </c>
      <c r="B366" t="s">
        <v>338</v>
      </c>
      <c r="C366" t="s">
        <v>16</v>
      </c>
      <c r="D366" t="s">
        <v>17</v>
      </c>
      <c r="E366">
        <v>71</v>
      </c>
      <c r="F366">
        <v>78</v>
      </c>
      <c r="G366">
        <v>91.03</v>
      </c>
      <c r="H366">
        <v>492090</v>
      </c>
      <c r="I366">
        <v>96793</v>
      </c>
      <c r="J366">
        <v>684883</v>
      </c>
      <c r="K366">
        <v>935176</v>
      </c>
      <c r="L366">
        <v>60</v>
      </c>
      <c r="M366" t="s">
        <v>18</v>
      </c>
      <c r="N366">
        <v>4.2</v>
      </c>
    </row>
    <row r="367" spans="1:14" x14ac:dyDescent="0.35">
      <c r="A367" t="s">
        <v>631</v>
      </c>
      <c r="B367" t="s">
        <v>632</v>
      </c>
      <c r="C367" t="s">
        <v>21</v>
      </c>
      <c r="D367" t="s">
        <v>17</v>
      </c>
      <c r="E367">
        <v>73</v>
      </c>
      <c r="F367">
        <v>78</v>
      </c>
      <c r="G367">
        <v>93.59</v>
      </c>
      <c r="H367">
        <v>359982</v>
      </c>
      <c r="I367">
        <v>39678</v>
      </c>
      <c r="J367">
        <v>793320</v>
      </c>
      <c r="K367">
        <v>1032342</v>
      </c>
      <c r="L367">
        <v>27</v>
      </c>
      <c r="M367" t="s">
        <v>18</v>
      </c>
      <c r="N367">
        <v>3.5</v>
      </c>
    </row>
    <row r="368" spans="1:14" x14ac:dyDescent="0.35">
      <c r="A368" t="s">
        <v>633</v>
      </c>
      <c r="B368" t="s">
        <v>96</v>
      </c>
      <c r="C368" t="s">
        <v>36</v>
      </c>
      <c r="D368" t="s">
        <v>43</v>
      </c>
      <c r="E368">
        <v>225</v>
      </c>
      <c r="F368">
        <v>232</v>
      </c>
      <c r="G368">
        <v>96.98</v>
      </c>
      <c r="H368">
        <v>847403</v>
      </c>
      <c r="I368">
        <v>20835</v>
      </c>
      <c r="J368">
        <v>839744</v>
      </c>
      <c r="K368">
        <v>1255103</v>
      </c>
      <c r="L368">
        <v>33</v>
      </c>
      <c r="M368" t="s">
        <v>18</v>
      </c>
      <c r="N368">
        <v>4.2</v>
      </c>
    </row>
    <row r="369" spans="1:14" x14ac:dyDescent="0.35">
      <c r="A369" t="s">
        <v>634</v>
      </c>
      <c r="B369" t="s">
        <v>352</v>
      </c>
      <c r="C369" t="s">
        <v>42</v>
      </c>
      <c r="D369" t="s">
        <v>43</v>
      </c>
      <c r="E369">
        <v>205</v>
      </c>
      <c r="F369">
        <v>232</v>
      </c>
      <c r="G369">
        <v>88.36</v>
      </c>
      <c r="H369">
        <v>1537061</v>
      </c>
      <c r="I369">
        <v>42107</v>
      </c>
      <c r="J369">
        <v>1160057</v>
      </c>
      <c r="K369">
        <v>1500226</v>
      </c>
      <c r="L369">
        <v>81</v>
      </c>
      <c r="M369" t="s">
        <v>18</v>
      </c>
      <c r="N369">
        <v>4.2</v>
      </c>
    </row>
    <row r="370" spans="1:14" x14ac:dyDescent="0.35">
      <c r="A370" t="s">
        <v>635</v>
      </c>
      <c r="B370" t="s">
        <v>86</v>
      </c>
      <c r="C370" t="s">
        <v>39</v>
      </c>
      <c r="D370" t="s">
        <v>43</v>
      </c>
      <c r="E370">
        <v>199</v>
      </c>
      <c r="F370">
        <v>232</v>
      </c>
      <c r="G370">
        <v>85.78</v>
      </c>
      <c r="H370">
        <v>724856</v>
      </c>
      <c r="I370">
        <v>95136</v>
      </c>
      <c r="J370">
        <v>595898</v>
      </c>
      <c r="K370">
        <v>792421</v>
      </c>
      <c r="L370">
        <v>40</v>
      </c>
      <c r="M370" t="s">
        <v>18</v>
      </c>
      <c r="N370">
        <v>3.3</v>
      </c>
    </row>
    <row r="371" spans="1:14" x14ac:dyDescent="0.35">
      <c r="A371" t="s">
        <v>636</v>
      </c>
      <c r="B371" t="s">
        <v>637</v>
      </c>
      <c r="C371" t="s">
        <v>59</v>
      </c>
      <c r="D371" t="s">
        <v>43</v>
      </c>
      <c r="E371">
        <v>172</v>
      </c>
      <c r="F371">
        <v>232</v>
      </c>
      <c r="G371">
        <v>74.14</v>
      </c>
      <c r="H371">
        <v>1112987</v>
      </c>
      <c r="I371">
        <v>33031</v>
      </c>
      <c r="J371">
        <v>887283</v>
      </c>
      <c r="K371">
        <v>1310908</v>
      </c>
      <c r="L371">
        <v>1</v>
      </c>
      <c r="M371" t="s">
        <v>33</v>
      </c>
      <c r="N371">
        <v>3.7</v>
      </c>
    </row>
    <row r="372" spans="1:14" x14ac:dyDescent="0.35">
      <c r="A372" t="s">
        <v>638</v>
      </c>
      <c r="B372" t="s">
        <v>550</v>
      </c>
      <c r="C372" t="s">
        <v>76</v>
      </c>
      <c r="D372" t="s">
        <v>43</v>
      </c>
      <c r="E372">
        <v>209</v>
      </c>
      <c r="F372">
        <v>232</v>
      </c>
      <c r="G372">
        <v>90.09</v>
      </c>
      <c r="H372">
        <v>744075</v>
      </c>
      <c r="I372">
        <v>121137</v>
      </c>
      <c r="J372">
        <v>560872</v>
      </c>
      <c r="K372">
        <v>1139440</v>
      </c>
      <c r="L372">
        <v>34</v>
      </c>
      <c r="M372" t="s">
        <v>18</v>
      </c>
      <c r="N372">
        <v>4.0999999999999996</v>
      </c>
    </row>
    <row r="373" spans="1:14" x14ac:dyDescent="0.35">
      <c r="A373" t="s">
        <v>639</v>
      </c>
      <c r="B373" t="s">
        <v>252</v>
      </c>
      <c r="C373" t="s">
        <v>29</v>
      </c>
      <c r="D373" t="s">
        <v>17</v>
      </c>
      <c r="E373">
        <v>52</v>
      </c>
      <c r="F373">
        <v>78</v>
      </c>
      <c r="G373">
        <v>66.67</v>
      </c>
      <c r="H373">
        <v>396455</v>
      </c>
      <c r="I373">
        <v>61000</v>
      </c>
      <c r="J373">
        <v>824327</v>
      </c>
      <c r="K373">
        <v>1472226</v>
      </c>
      <c r="L373">
        <v>69</v>
      </c>
      <c r="M373" t="s">
        <v>18</v>
      </c>
      <c r="N373">
        <v>4.5999999999999996</v>
      </c>
    </row>
    <row r="374" spans="1:14" x14ac:dyDescent="0.35">
      <c r="A374" t="s">
        <v>640</v>
      </c>
      <c r="B374" t="s">
        <v>641</v>
      </c>
      <c r="C374" t="s">
        <v>36</v>
      </c>
      <c r="D374" t="s">
        <v>24</v>
      </c>
      <c r="E374">
        <v>123</v>
      </c>
      <c r="F374">
        <v>180</v>
      </c>
      <c r="G374">
        <v>68.33</v>
      </c>
      <c r="H374">
        <v>979607</v>
      </c>
      <c r="I374">
        <v>48732</v>
      </c>
      <c r="J374">
        <v>1147182</v>
      </c>
      <c r="K374">
        <v>1488466</v>
      </c>
      <c r="L374">
        <v>25</v>
      </c>
      <c r="M374" t="s">
        <v>18</v>
      </c>
      <c r="N374">
        <v>4.4000000000000004</v>
      </c>
    </row>
    <row r="375" spans="1:14" x14ac:dyDescent="0.35">
      <c r="A375" t="s">
        <v>642</v>
      </c>
      <c r="B375" t="s">
        <v>323</v>
      </c>
      <c r="C375" t="s">
        <v>59</v>
      </c>
      <c r="D375" t="s">
        <v>24</v>
      </c>
      <c r="E375">
        <v>156</v>
      </c>
      <c r="F375">
        <v>180</v>
      </c>
      <c r="G375">
        <v>86.67</v>
      </c>
      <c r="H375">
        <v>1297429</v>
      </c>
      <c r="I375">
        <v>49092</v>
      </c>
      <c r="J375">
        <v>778655</v>
      </c>
      <c r="K375">
        <v>946659</v>
      </c>
      <c r="L375">
        <v>81</v>
      </c>
      <c r="M375" t="s">
        <v>18</v>
      </c>
      <c r="N375">
        <v>4.2</v>
      </c>
    </row>
    <row r="376" spans="1:14" x14ac:dyDescent="0.35">
      <c r="A376" t="s">
        <v>643</v>
      </c>
      <c r="B376" t="s">
        <v>644</v>
      </c>
      <c r="C376" t="s">
        <v>29</v>
      </c>
      <c r="D376" t="s">
        <v>24</v>
      </c>
      <c r="E376">
        <v>143</v>
      </c>
      <c r="F376">
        <v>180</v>
      </c>
      <c r="G376">
        <v>79.44</v>
      </c>
      <c r="H376">
        <v>907869</v>
      </c>
      <c r="I376">
        <v>88745</v>
      </c>
      <c r="J376">
        <v>1159806</v>
      </c>
      <c r="K376">
        <v>1838304</v>
      </c>
      <c r="L376">
        <v>60</v>
      </c>
      <c r="M376" t="s">
        <v>18</v>
      </c>
      <c r="N376">
        <v>4.7</v>
      </c>
    </row>
    <row r="377" spans="1:14" x14ac:dyDescent="0.35">
      <c r="A377" t="s">
        <v>645</v>
      </c>
      <c r="B377" t="s">
        <v>646</v>
      </c>
      <c r="C377" t="s">
        <v>21</v>
      </c>
      <c r="D377" t="s">
        <v>17</v>
      </c>
      <c r="E377">
        <v>70</v>
      </c>
      <c r="F377">
        <v>78</v>
      </c>
      <c r="G377">
        <v>89.74</v>
      </c>
      <c r="H377">
        <v>281677</v>
      </c>
      <c r="I377">
        <v>137116</v>
      </c>
      <c r="J377">
        <v>266606</v>
      </c>
      <c r="K377">
        <v>797226</v>
      </c>
      <c r="L377">
        <v>68</v>
      </c>
      <c r="M377" t="s">
        <v>18</v>
      </c>
      <c r="N377">
        <v>3.8</v>
      </c>
    </row>
    <row r="378" spans="1:14" x14ac:dyDescent="0.35">
      <c r="A378" t="s">
        <v>647</v>
      </c>
      <c r="B378" t="s">
        <v>648</v>
      </c>
      <c r="C378" t="s">
        <v>117</v>
      </c>
      <c r="D378" t="s">
        <v>43</v>
      </c>
      <c r="E378">
        <v>155</v>
      </c>
      <c r="F378">
        <v>232</v>
      </c>
      <c r="G378">
        <v>66.81</v>
      </c>
      <c r="H378">
        <v>641867</v>
      </c>
      <c r="I378">
        <v>129139</v>
      </c>
      <c r="J378">
        <v>516962</v>
      </c>
      <c r="K378">
        <v>826664</v>
      </c>
      <c r="L378">
        <v>6</v>
      </c>
      <c r="M378" t="s">
        <v>33</v>
      </c>
      <c r="N378">
        <v>4.0999999999999996</v>
      </c>
    </row>
    <row r="379" spans="1:14" x14ac:dyDescent="0.35">
      <c r="A379" t="s">
        <v>649</v>
      </c>
      <c r="B379" t="s">
        <v>165</v>
      </c>
      <c r="C379" t="s">
        <v>42</v>
      </c>
      <c r="D379" t="s">
        <v>43</v>
      </c>
      <c r="E379">
        <v>213</v>
      </c>
      <c r="F379">
        <v>232</v>
      </c>
      <c r="G379">
        <v>91.81</v>
      </c>
      <c r="H379">
        <v>1736137</v>
      </c>
      <c r="I379">
        <v>142025</v>
      </c>
      <c r="J379">
        <v>737302</v>
      </c>
      <c r="K379">
        <v>922102</v>
      </c>
      <c r="L379">
        <v>6</v>
      </c>
      <c r="M379" t="s">
        <v>33</v>
      </c>
      <c r="N379">
        <v>4.5</v>
      </c>
    </row>
    <row r="380" spans="1:14" x14ac:dyDescent="0.35">
      <c r="A380" t="s">
        <v>650</v>
      </c>
      <c r="B380" t="s">
        <v>35</v>
      </c>
      <c r="C380" t="s">
        <v>32</v>
      </c>
      <c r="D380" t="s">
        <v>17</v>
      </c>
      <c r="E380">
        <v>55</v>
      </c>
      <c r="F380">
        <v>78</v>
      </c>
      <c r="G380">
        <v>70.510000000000005</v>
      </c>
      <c r="H380">
        <v>223175</v>
      </c>
      <c r="I380">
        <v>82412</v>
      </c>
      <c r="J380">
        <v>502969</v>
      </c>
      <c r="K380">
        <v>1075226</v>
      </c>
      <c r="L380">
        <v>61</v>
      </c>
      <c r="M380" t="s">
        <v>18</v>
      </c>
      <c r="N380">
        <v>3.7</v>
      </c>
    </row>
    <row r="381" spans="1:14" x14ac:dyDescent="0.35">
      <c r="A381" t="s">
        <v>651</v>
      </c>
      <c r="B381" t="s">
        <v>571</v>
      </c>
      <c r="C381" t="s">
        <v>59</v>
      </c>
      <c r="D381" t="s">
        <v>43</v>
      </c>
      <c r="E381">
        <v>204</v>
      </c>
      <c r="F381">
        <v>232</v>
      </c>
      <c r="G381">
        <v>87.93</v>
      </c>
      <c r="H381">
        <v>1396327</v>
      </c>
      <c r="I381">
        <v>124575</v>
      </c>
      <c r="J381">
        <v>750615</v>
      </c>
      <c r="K381">
        <v>1164058</v>
      </c>
      <c r="L381">
        <v>53</v>
      </c>
      <c r="M381" t="s">
        <v>18</v>
      </c>
      <c r="N381">
        <v>3.5</v>
      </c>
    </row>
    <row r="382" spans="1:14" x14ac:dyDescent="0.35">
      <c r="A382" t="s">
        <v>652</v>
      </c>
      <c r="B382" t="s">
        <v>653</v>
      </c>
      <c r="C382" t="s">
        <v>36</v>
      </c>
      <c r="D382" t="s">
        <v>24</v>
      </c>
      <c r="E382">
        <v>114</v>
      </c>
      <c r="F382">
        <v>180</v>
      </c>
      <c r="G382">
        <v>63.33</v>
      </c>
      <c r="H382">
        <v>652413</v>
      </c>
      <c r="I382">
        <v>16989</v>
      </c>
      <c r="J382">
        <v>335996</v>
      </c>
      <c r="K382">
        <v>925677</v>
      </c>
      <c r="L382">
        <v>52</v>
      </c>
      <c r="M382" t="s">
        <v>18</v>
      </c>
      <c r="N382">
        <v>3.6</v>
      </c>
    </row>
    <row r="383" spans="1:14" x14ac:dyDescent="0.35">
      <c r="A383" t="s">
        <v>654</v>
      </c>
      <c r="B383" t="s">
        <v>655</v>
      </c>
      <c r="C383" t="s">
        <v>21</v>
      </c>
      <c r="D383" t="s">
        <v>24</v>
      </c>
      <c r="E383">
        <v>176</v>
      </c>
      <c r="F383">
        <v>180</v>
      </c>
      <c r="G383">
        <v>97.78</v>
      </c>
      <c r="H383">
        <v>1085061</v>
      </c>
      <c r="I383">
        <v>90685</v>
      </c>
      <c r="J383">
        <v>754182</v>
      </c>
      <c r="K383">
        <v>1234193</v>
      </c>
      <c r="L383">
        <v>88</v>
      </c>
      <c r="M383" t="s">
        <v>18</v>
      </c>
      <c r="N383">
        <v>3.7</v>
      </c>
    </row>
    <row r="384" spans="1:14" x14ac:dyDescent="0.35">
      <c r="A384" t="s">
        <v>656</v>
      </c>
      <c r="B384" t="s">
        <v>655</v>
      </c>
      <c r="C384" t="s">
        <v>36</v>
      </c>
      <c r="D384" t="s">
        <v>17</v>
      </c>
      <c r="E384">
        <v>75</v>
      </c>
      <c r="F384">
        <v>78</v>
      </c>
      <c r="G384">
        <v>96.15</v>
      </c>
      <c r="H384">
        <v>616378</v>
      </c>
      <c r="I384">
        <v>77337</v>
      </c>
      <c r="J384">
        <v>515066</v>
      </c>
      <c r="K384">
        <v>758234</v>
      </c>
      <c r="L384">
        <v>69</v>
      </c>
      <c r="M384" t="s">
        <v>18</v>
      </c>
      <c r="N384">
        <v>4.2</v>
      </c>
    </row>
    <row r="385" spans="1:14" x14ac:dyDescent="0.35">
      <c r="A385" t="s">
        <v>657</v>
      </c>
      <c r="B385" t="s">
        <v>596</v>
      </c>
      <c r="C385" t="s">
        <v>36</v>
      </c>
      <c r="D385" t="s">
        <v>24</v>
      </c>
      <c r="E385">
        <v>175</v>
      </c>
      <c r="F385">
        <v>180</v>
      </c>
      <c r="G385">
        <v>97.22</v>
      </c>
      <c r="H385">
        <v>892142</v>
      </c>
      <c r="I385">
        <v>16482</v>
      </c>
      <c r="J385">
        <v>621626</v>
      </c>
      <c r="K385">
        <v>975002</v>
      </c>
      <c r="L385">
        <v>27</v>
      </c>
      <c r="M385" t="s">
        <v>18</v>
      </c>
      <c r="N385">
        <v>4.0999999999999996</v>
      </c>
    </row>
    <row r="386" spans="1:14" x14ac:dyDescent="0.35">
      <c r="A386" t="s">
        <v>658</v>
      </c>
      <c r="B386" t="s">
        <v>588</v>
      </c>
      <c r="C386" t="s">
        <v>32</v>
      </c>
      <c r="D386" t="s">
        <v>17</v>
      </c>
      <c r="E386">
        <v>48</v>
      </c>
      <c r="F386">
        <v>78</v>
      </c>
      <c r="G386">
        <v>61.54</v>
      </c>
      <c r="H386">
        <v>223666</v>
      </c>
      <c r="I386">
        <v>78086</v>
      </c>
      <c r="J386">
        <v>347730</v>
      </c>
      <c r="K386">
        <v>961675</v>
      </c>
      <c r="L386">
        <v>83</v>
      </c>
      <c r="M386" t="s">
        <v>18</v>
      </c>
      <c r="N386">
        <v>4.5999999999999996</v>
      </c>
    </row>
    <row r="387" spans="1:14" x14ac:dyDescent="0.35">
      <c r="A387" t="s">
        <v>659</v>
      </c>
      <c r="B387" t="s">
        <v>417</v>
      </c>
      <c r="C387" t="s">
        <v>32</v>
      </c>
      <c r="D387" t="s">
        <v>43</v>
      </c>
      <c r="E387">
        <v>158</v>
      </c>
      <c r="F387">
        <v>232</v>
      </c>
      <c r="G387">
        <v>68.099999999999994</v>
      </c>
      <c r="H387">
        <v>1372790</v>
      </c>
      <c r="I387">
        <v>104445</v>
      </c>
      <c r="J387">
        <v>346022</v>
      </c>
      <c r="K387">
        <v>893022</v>
      </c>
      <c r="L387">
        <v>74</v>
      </c>
      <c r="M387" t="s">
        <v>18</v>
      </c>
      <c r="N387">
        <v>4.0999999999999996</v>
      </c>
    </row>
    <row r="388" spans="1:14" x14ac:dyDescent="0.35">
      <c r="A388" t="s">
        <v>660</v>
      </c>
      <c r="B388" t="s">
        <v>522</v>
      </c>
      <c r="C388" t="s">
        <v>59</v>
      </c>
      <c r="D388" t="s">
        <v>43</v>
      </c>
      <c r="E388">
        <v>146</v>
      </c>
      <c r="F388">
        <v>232</v>
      </c>
      <c r="G388">
        <v>62.93</v>
      </c>
      <c r="H388">
        <v>632309</v>
      </c>
      <c r="I388">
        <v>23460</v>
      </c>
      <c r="J388">
        <v>809757</v>
      </c>
      <c r="K388">
        <v>1497325</v>
      </c>
      <c r="L388">
        <v>14</v>
      </c>
      <c r="M388" t="s">
        <v>33</v>
      </c>
      <c r="N388">
        <v>4.4000000000000004</v>
      </c>
    </row>
    <row r="389" spans="1:14" x14ac:dyDescent="0.35">
      <c r="A389" t="s">
        <v>661</v>
      </c>
      <c r="B389" t="s">
        <v>646</v>
      </c>
      <c r="C389" t="s">
        <v>21</v>
      </c>
      <c r="D389" t="s">
        <v>17</v>
      </c>
      <c r="E389">
        <v>50</v>
      </c>
      <c r="F389">
        <v>78</v>
      </c>
      <c r="G389">
        <v>64.099999999999994</v>
      </c>
      <c r="H389">
        <v>371853</v>
      </c>
      <c r="I389">
        <v>139240</v>
      </c>
      <c r="J389">
        <v>535962</v>
      </c>
      <c r="K389">
        <v>668208</v>
      </c>
      <c r="L389">
        <v>17</v>
      </c>
      <c r="M389" t="s">
        <v>18</v>
      </c>
      <c r="N389">
        <v>4.8</v>
      </c>
    </row>
    <row r="390" spans="1:14" x14ac:dyDescent="0.35">
      <c r="A390" t="s">
        <v>662</v>
      </c>
      <c r="B390" t="s">
        <v>222</v>
      </c>
      <c r="C390" t="s">
        <v>59</v>
      </c>
      <c r="D390" t="s">
        <v>43</v>
      </c>
      <c r="E390">
        <v>202</v>
      </c>
      <c r="F390">
        <v>232</v>
      </c>
      <c r="G390">
        <v>87.07</v>
      </c>
      <c r="H390">
        <v>1425015</v>
      </c>
      <c r="I390">
        <v>108352</v>
      </c>
      <c r="J390">
        <v>788856</v>
      </c>
      <c r="K390">
        <v>1266843</v>
      </c>
      <c r="L390">
        <v>83</v>
      </c>
      <c r="M390" t="s">
        <v>18</v>
      </c>
      <c r="N390">
        <v>3.5</v>
      </c>
    </row>
    <row r="391" spans="1:14" x14ac:dyDescent="0.35">
      <c r="A391" t="s">
        <v>663</v>
      </c>
      <c r="B391" t="s">
        <v>625</v>
      </c>
      <c r="C391" t="s">
        <v>42</v>
      </c>
      <c r="D391" t="s">
        <v>17</v>
      </c>
      <c r="E391">
        <v>53</v>
      </c>
      <c r="F391">
        <v>78</v>
      </c>
      <c r="G391">
        <v>67.95</v>
      </c>
      <c r="H391">
        <v>242396</v>
      </c>
      <c r="I391">
        <v>61795</v>
      </c>
      <c r="J391">
        <v>1085016</v>
      </c>
      <c r="K391">
        <v>1431956</v>
      </c>
      <c r="L391">
        <v>29</v>
      </c>
      <c r="M391" t="s">
        <v>18</v>
      </c>
      <c r="N391">
        <v>3.7</v>
      </c>
    </row>
    <row r="392" spans="1:14" x14ac:dyDescent="0.35">
      <c r="A392" t="s">
        <v>664</v>
      </c>
      <c r="B392" t="s">
        <v>382</v>
      </c>
      <c r="C392" t="s">
        <v>59</v>
      </c>
      <c r="D392" t="s">
        <v>17</v>
      </c>
      <c r="E392">
        <v>46</v>
      </c>
      <c r="F392">
        <v>78</v>
      </c>
      <c r="G392">
        <v>58.97</v>
      </c>
      <c r="H392">
        <v>214598</v>
      </c>
      <c r="I392">
        <v>87207</v>
      </c>
      <c r="J392">
        <v>475953</v>
      </c>
      <c r="K392">
        <v>1056060</v>
      </c>
      <c r="L392">
        <v>55</v>
      </c>
      <c r="M392" t="s">
        <v>18</v>
      </c>
      <c r="N392">
        <v>4.3</v>
      </c>
    </row>
    <row r="393" spans="1:14" x14ac:dyDescent="0.35">
      <c r="A393" t="s">
        <v>665</v>
      </c>
      <c r="B393" t="s">
        <v>532</v>
      </c>
      <c r="C393" t="s">
        <v>16</v>
      </c>
      <c r="D393" t="s">
        <v>17</v>
      </c>
      <c r="E393">
        <v>54</v>
      </c>
      <c r="F393">
        <v>78</v>
      </c>
      <c r="G393">
        <v>69.23</v>
      </c>
      <c r="H393">
        <v>436638</v>
      </c>
      <c r="I393">
        <v>137004</v>
      </c>
      <c r="J393">
        <v>815103</v>
      </c>
      <c r="K393">
        <v>915419</v>
      </c>
      <c r="L393">
        <v>65</v>
      </c>
      <c r="M393" t="s">
        <v>18</v>
      </c>
      <c r="N393">
        <v>4.7</v>
      </c>
    </row>
    <row r="394" spans="1:14" x14ac:dyDescent="0.35">
      <c r="A394" t="s">
        <v>666</v>
      </c>
      <c r="B394" t="s">
        <v>667</v>
      </c>
      <c r="C394" t="s">
        <v>117</v>
      </c>
      <c r="D394" t="s">
        <v>43</v>
      </c>
      <c r="E394">
        <v>195</v>
      </c>
      <c r="F394">
        <v>232</v>
      </c>
      <c r="G394">
        <v>84.05</v>
      </c>
      <c r="H394">
        <v>1434615</v>
      </c>
      <c r="I394">
        <v>40556</v>
      </c>
      <c r="J394">
        <v>1011402</v>
      </c>
      <c r="K394">
        <v>1586379</v>
      </c>
      <c r="L394">
        <v>82</v>
      </c>
      <c r="M394" t="s">
        <v>18</v>
      </c>
      <c r="N394">
        <v>3.9</v>
      </c>
    </row>
    <row r="395" spans="1:14" x14ac:dyDescent="0.35">
      <c r="A395" t="s">
        <v>668</v>
      </c>
      <c r="B395" t="s">
        <v>400</v>
      </c>
      <c r="C395" t="s">
        <v>29</v>
      </c>
      <c r="D395" t="s">
        <v>43</v>
      </c>
      <c r="E395">
        <v>140</v>
      </c>
      <c r="F395">
        <v>232</v>
      </c>
      <c r="G395">
        <v>60.34</v>
      </c>
      <c r="H395">
        <v>1053532</v>
      </c>
      <c r="I395">
        <v>112467</v>
      </c>
      <c r="J395">
        <v>656549</v>
      </c>
      <c r="K395">
        <v>1283495</v>
      </c>
      <c r="L395">
        <v>20</v>
      </c>
      <c r="M395" t="s">
        <v>18</v>
      </c>
      <c r="N395">
        <v>4.0999999999999996</v>
      </c>
    </row>
    <row r="396" spans="1:14" x14ac:dyDescent="0.35">
      <c r="A396" t="s">
        <v>669</v>
      </c>
      <c r="B396" t="s">
        <v>204</v>
      </c>
      <c r="C396" t="s">
        <v>32</v>
      </c>
      <c r="D396" t="s">
        <v>43</v>
      </c>
      <c r="E396">
        <v>224</v>
      </c>
      <c r="F396">
        <v>232</v>
      </c>
      <c r="G396">
        <v>96.55</v>
      </c>
      <c r="H396">
        <v>1267396</v>
      </c>
      <c r="I396">
        <v>79622</v>
      </c>
      <c r="J396">
        <v>794502</v>
      </c>
      <c r="K396">
        <v>1270848</v>
      </c>
      <c r="L396">
        <v>15</v>
      </c>
      <c r="M396" t="s">
        <v>33</v>
      </c>
      <c r="N396">
        <v>3.7</v>
      </c>
    </row>
    <row r="397" spans="1:14" x14ac:dyDescent="0.35">
      <c r="A397" t="s">
        <v>670</v>
      </c>
      <c r="B397" t="s">
        <v>159</v>
      </c>
      <c r="C397" t="s">
        <v>21</v>
      </c>
      <c r="D397" t="s">
        <v>43</v>
      </c>
      <c r="E397">
        <v>217</v>
      </c>
      <c r="F397">
        <v>232</v>
      </c>
      <c r="G397">
        <v>93.53</v>
      </c>
      <c r="H397">
        <v>1833382</v>
      </c>
      <c r="I397">
        <v>132087</v>
      </c>
      <c r="J397">
        <v>647661</v>
      </c>
      <c r="K397">
        <v>1289872</v>
      </c>
      <c r="L397">
        <v>89</v>
      </c>
      <c r="M397" t="s">
        <v>18</v>
      </c>
      <c r="N397">
        <v>3.8</v>
      </c>
    </row>
    <row r="398" spans="1:14" x14ac:dyDescent="0.35">
      <c r="A398" t="s">
        <v>671</v>
      </c>
      <c r="B398" t="s">
        <v>440</v>
      </c>
      <c r="C398" t="s">
        <v>59</v>
      </c>
      <c r="D398" t="s">
        <v>17</v>
      </c>
      <c r="E398">
        <v>55</v>
      </c>
      <c r="F398">
        <v>78</v>
      </c>
      <c r="G398">
        <v>70.510000000000005</v>
      </c>
      <c r="H398">
        <v>210135</v>
      </c>
      <c r="I398">
        <v>91241</v>
      </c>
      <c r="J398">
        <v>639433</v>
      </c>
      <c r="K398">
        <v>1179323</v>
      </c>
      <c r="L398">
        <v>16</v>
      </c>
      <c r="M398" t="s">
        <v>18</v>
      </c>
      <c r="N398">
        <v>4.3</v>
      </c>
    </row>
    <row r="399" spans="1:14" x14ac:dyDescent="0.35">
      <c r="A399" t="s">
        <v>672</v>
      </c>
      <c r="B399" t="s">
        <v>310</v>
      </c>
      <c r="C399" t="s">
        <v>42</v>
      </c>
      <c r="D399" t="s">
        <v>24</v>
      </c>
      <c r="E399">
        <v>113</v>
      </c>
      <c r="F399">
        <v>180</v>
      </c>
      <c r="G399">
        <v>62.78</v>
      </c>
      <c r="H399">
        <v>922578</v>
      </c>
      <c r="I399">
        <v>145591</v>
      </c>
      <c r="J399">
        <v>1098048</v>
      </c>
      <c r="K399">
        <v>1731264</v>
      </c>
      <c r="L399">
        <v>22</v>
      </c>
      <c r="M399" t="s">
        <v>18</v>
      </c>
      <c r="N399">
        <v>4.4000000000000004</v>
      </c>
    </row>
    <row r="400" spans="1:14" x14ac:dyDescent="0.35">
      <c r="A400" t="s">
        <v>673</v>
      </c>
      <c r="B400" t="s">
        <v>536</v>
      </c>
      <c r="C400" t="s">
        <v>42</v>
      </c>
      <c r="D400" t="s">
        <v>17</v>
      </c>
      <c r="E400">
        <v>76</v>
      </c>
      <c r="F400">
        <v>78</v>
      </c>
      <c r="G400">
        <v>97.44</v>
      </c>
      <c r="H400">
        <v>385689</v>
      </c>
      <c r="I400">
        <v>51966</v>
      </c>
      <c r="J400">
        <v>822540</v>
      </c>
      <c r="K400">
        <v>1366528</v>
      </c>
      <c r="L400">
        <v>80</v>
      </c>
      <c r="M400" t="s">
        <v>18</v>
      </c>
      <c r="N400">
        <v>4.5</v>
      </c>
    </row>
    <row r="401" spans="1:14" x14ac:dyDescent="0.35">
      <c r="A401" t="s">
        <v>674</v>
      </c>
      <c r="B401" t="s">
        <v>557</v>
      </c>
      <c r="C401" t="s">
        <v>76</v>
      </c>
      <c r="D401" t="s">
        <v>17</v>
      </c>
      <c r="E401">
        <v>51</v>
      </c>
      <c r="F401">
        <v>78</v>
      </c>
      <c r="G401">
        <v>65.38</v>
      </c>
      <c r="H401">
        <v>419568</v>
      </c>
      <c r="I401">
        <v>139374</v>
      </c>
      <c r="J401">
        <v>1183147</v>
      </c>
      <c r="K401">
        <v>1289086</v>
      </c>
      <c r="L401">
        <v>10</v>
      </c>
      <c r="M401" t="s">
        <v>33</v>
      </c>
      <c r="N401">
        <v>3.2</v>
      </c>
    </row>
    <row r="402" spans="1:14" x14ac:dyDescent="0.35">
      <c r="A402" t="s">
        <v>675</v>
      </c>
      <c r="B402" t="s">
        <v>676</v>
      </c>
      <c r="C402" t="s">
        <v>39</v>
      </c>
      <c r="D402" t="s">
        <v>17</v>
      </c>
      <c r="E402">
        <v>65</v>
      </c>
      <c r="F402">
        <v>78</v>
      </c>
      <c r="G402">
        <v>83.33</v>
      </c>
      <c r="H402">
        <v>284625</v>
      </c>
      <c r="I402">
        <v>101363</v>
      </c>
      <c r="J402">
        <v>934140</v>
      </c>
      <c r="K402">
        <v>1524738</v>
      </c>
      <c r="L402">
        <v>14</v>
      </c>
      <c r="M402" t="s">
        <v>33</v>
      </c>
      <c r="N402">
        <v>4</v>
      </c>
    </row>
    <row r="403" spans="1:14" x14ac:dyDescent="0.35">
      <c r="A403" t="s">
        <v>677</v>
      </c>
      <c r="B403" t="s">
        <v>145</v>
      </c>
      <c r="C403" t="s">
        <v>16</v>
      </c>
      <c r="D403" t="s">
        <v>24</v>
      </c>
      <c r="E403">
        <v>146</v>
      </c>
      <c r="F403">
        <v>180</v>
      </c>
      <c r="G403">
        <v>81.11</v>
      </c>
      <c r="H403">
        <v>1059593</v>
      </c>
      <c r="I403">
        <v>110762</v>
      </c>
      <c r="J403">
        <v>340416</v>
      </c>
      <c r="K403">
        <v>536306</v>
      </c>
      <c r="L403">
        <v>76</v>
      </c>
      <c r="M403" t="s">
        <v>18</v>
      </c>
      <c r="N403">
        <v>3.9</v>
      </c>
    </row>
    <row r="404" spans="1:14" x14ac:dyDescent="0.35">
      <c r="A404" t="s">
        <v>678</v>
      </c>
      <c r="B404" t="s">
        <v>63</v>
      </c>
      <c r="C404" t="s">
        <v>39</v>
      </c>
      <c r="D404" t="s">
        <v>24</v>
      </c>
      <c r="E404">
        <v>176</v>
      </c>
      <c r="F404">
        <v>180</v>
      </c>
      <c r="G404">
        <v>97.78</v>
      </c>
      <c r="H404">
        <v>887331</v>
      </c>
      <c r="I404">
        <v>113600</v>
      </c>
      <c r="J404">
        <v>605402</v>
      </c>
      <c r="K404">
        <v>1139632</v>
      </c>
      <c r="L404">
        <v>55</v>
      </c>
      <c r="M404" t="s">
        <v>18</v>
      </c>
      <c r="N404">
        <v>3.8</v>
      </c>
    </row>
    <row r="405" spans="1:14" x14ac:dyDescent="0.35">
      <c r="A405" t="s">
        <v>679</v>
      </c>
      <c r="B405" t="s">
        <v>278</v>
      </c>
      <c r="C405" t="s">
        <v>36</v>
      </c>
      <c r="D405" t="s">
        <v>17</v>
      </c>
      <c r="E405">
        <v>52</v>
      </c>
      <c r="F405">
        <v>78</v>
      </c>
      <c r="G405">
        <v>66.67</v>
      </c>
      <c r="H405">
        <v>224766</v>
      </c>
      <c r="I405">
        <v>78421</v>
      </c>
      <c r="J405">
        <v>995587</v>
      </c>
      <c r="K405">
        <v>1322600</v>
      </c>
      <c r="L405">
        <v>61</v>
      </c>
      <c r="M405" t="s">
        <v>18</v>
      </c>
      <c r="N405">
        <v>4.4000000000000004</v>
      </c>
    </row>
    <row r="406" spans="1:14" x14ac:dyDescent="0.35">
      <c r="A406" t="s">
        <v>680</v>
      </c>
      <c r="B406" t="s">
        <v>387</v>
      </c>
      <c r="C406" t="s">
        <v>117</v>
      </c>
      <c r="D406" t="s">
        <v>43</v>
      </c>
      <c r="E406">
        <v>165</v>
      </c>
      <c r="F406">
        <v>232</v>
      </c>
      <c r="G406">
        <v>71.12</v>
      </c>
      <c r="H406">
        <v>625434</v>
      </c>
      <c r="I406">
        <v>139019</v>
      </c>
      <c r="J406">
        <v>662201</v>
      </c>
      <c r="K406">
        <v>988380</v>
      </c>
      <c r="L406">
        <v>73</v>
      </c>
      <c r="M406" t="s">
        <v>18</v>
      </c>
      <c r="N406">
        <v>3.7</v>
      </c>
    </row>
    <row r="407" spans="1:14" x14ac:dyDescent="0.35">
      <c r="A407" t="s">
        <v>681</v>
      </c>
      <c r="B407" t="s">
        <v>682</v>
      </c>
      <c r="C407" t="s">
        <v>117</v>
      </c>
      <c r="D407" t="s">
        <v>24</v>
      </c>
      <c r="E407">
        <v>108</v>
      </c>
      <c r="F407">
        <v>180</v>
      </c>
      <c r="G407">
        <v>60</v>
      </c>
      <c r="H407">
        <v>408406</v>
      </c>
      <c r="I407">
        <v>113913</v>
      </c>
      <c r="J407">
        <v>786282</v>
      </c>
      <c r="K407">
        <v>1046216</v>
      </c>
      <c r="L407">
        <v>61</v>
      </c>
      <c r="M407" t="s">
        <v>18</v>
      </c>
      <c r="N407">
        <v>4.0999999999999996</v>
      </c>
    </row>
    <row r="408" spans="1:14" x14ac:dyDescent="0.35">
      <c r="A408" t="s">
        <v>683</v>
      </c>
      <c r="B408" t="s">
        <v>140</v>
      </c>
      <c r="C408" t="s">
        <v>36</v>
      </c>
      <c r="D408" t="s">
        <v>17</v>
      </c>
      <c r="E408">
        <v>51</v>
      </c>
      <c r="F408">
        <v>78</v>
      </c>
      <c r="G408">
        <v>65.38</v>
      </c>
      <c r="H408">
        <v>221814</v>
      </c>
      <c r="I408">
        <v>84650</v>
      </c>
      <c r="J408">
        <v>1190709</v>
      </c>
      <c r="K408">
        <v>1719332</v>
      </c>
      <c r="L408">
        <v>16</v>
      </c>
      <c r="M408" t="s">
        <v>18</v>
      </c>
      <c r="N408">
        <v>3.3</v>
      </c>
    </row>
    <row r="409" spans="1:14" x14ac:dyDescent="0.35">
      <c r="A409" t="s">
        <v>684</v>
      </c>
      <c r="B409" t="s">
        <v>625</v>
      </c>
      <c r="C409" t="s">
        <v>36</v>
      </c>
      <c r="D409" t="s">
        <v>17</v>
      </c>
      <c r="E409">
        <v>49</v>
      </c>
      <c r="F409">
        <v>78</v>
      </c>
      <c r="G409">
        <v>62.82</v>
      </c>
      <c r="H409">
        <v>221171</v>
      </c>
      <c r="I409">
        <v>88101</v>
      </c>
      <c r="J409">
        <v>641447</v>
      </c>
      <c r="K409">
        <v>1055522</v>
      </c>
      <c r="L409">
        <v>36</v>
      </c>
      <c r="M409" t="s">
        <v>18</v>
      </c>
      <c r="N409">
        <v>3.6</v>
      </c>
    </row>
    <row r="410" spans="1:14" x14ac:dyDescent="0.35">
      <c r="A410" t="s">
        <v>685</v>
      </c>
      <c r="B410" t="s">
        <v>266</v>
      </c>
      <c r="C410" t="s">
        <v>16</v>
      </c>
      <c r="D410" t="s">
        <v>24</v>
      </c>
      <c r="E410">
        <v>144</v>
      </c>
      <c r="F410">
        <v>180</v>
      </c>
      <c r="G410">
        <v>80</v>
      </c>
      <c r="H410">
        <v>1229852</v>
      </c>
      <c r="I410">
        <v>31879</v>
      </c>
      <c r="J410">
        <v>1018152</v>
      </c>
      <c r="K410">
        <v>1533989</v>
      </c>
      <c r="L410">
        <v>50</v>
      </c>
      <c r="M410" t="s">
        <v>18</v>
      </c>
      <c r="N410">
        <v>4.7</v>
      </c>
    </row>
    <row r="411" spans="1:14" x14ac:dyDescent="0.35">
      <c r="A411" t="s">
        <v>686</v>
      </c>
      <c r="B411" t="s">
        <v>687</v>
      </c>
      <c r="C411" t="s">
        <v>59</v>
      </c>
      <c r="D411" t="s">
        <v>17</v>
      </c>
      <c r="E411">
        <v>70</v>
      </c>
      <c r="F411">
        <v>78</v>
      </c>
      <c r="G411">
        <v>89.74</v>
      </c>
      <c r="H411">
        <v>550149</v>
      </c>
      <c r="I411">
        <v>77320</v>
      </c>
      <c r="J411">
        <v>724318</v>
      </c>
      <c r="K411">
        <v>1227830</v>
      </c>
      <c r="L411">
        <v>18</v>
      </c>
      <c r="M411" t="s">
        <v>18</v>
      </c>
      <c r="N411">
        <v>4.4000000000000004</v>
      </c>
    </row>
    <row r="412" spans="1:14" x14ac:dyDescent="0.35">
      <c r="A412" t="s">
        <v>688</v>
      </c>
      <c r="B412" t="s">
        <v>689</v>
      </c>
      <c r="C412" t="s">
        <v>36</v>
      </c>
      <c r="D412" t="s">
        <v>24</v>
      </c>
      <c r="E412">
        <v>124</v>
      </c>
      <c r="F412">
        <v>180</v>
      </c>
      <c r="G412">
        <v>68.89</v>
      </c>
      <c r="H412">
        <v>917492</v>
      </c>
      <c r="I412">
        <v>111089</v>
      </c>
      <c r="J412">
        <v>1068411</v>
      </c>
      <c r="K412">
        <v>1308436</v>
      </c>
      <c r="L412">
        <v>81</v>
      </c>
      <c r="M412" t="s">
        <v>18</v>
      </c>
      <c r="N412">
        <v>4.7</v>
      </c>
    </row>
    <row r="413" spans="1:14" x14ac:dyDescent="0.35">
      <c r="A413" t="s">
        <v>690</v>
      </c>
      <c r="B413" t="s">
        <v>691</v>
      </c>
      <c r="C413" t="s">
        <v>36</v>
      </c>
      <c r="D413" t="s">
        <v>24</v>
      </c>
      <c r="E413">
        <v>114</v>
      </c>
      <c r="F413">
        <v>180</v>
      </c>
      <c r="G413">
        <v>63.33</v>
      </c>
      <c r="H413">
        <v>442539</v>
      </c>
      <c r="I413">
        <v>124351</v>
      </c>
      <c r="J413">
        <v>406464</v>
      </c>
      <c r="K413">
        <v>1004881</v>
      </c>
      <c r="L413">
        <v>46</v>
      </c>
      <c r="M413" t="s">
        <v>18</v>
      </c>
      <c r="N413">
        <v>3.6</v>
      </c>
    </row>
    <row r="414" spans="1:14" x14ac:dyDescent="0.35">
      <c r="A414" t="s">
        <v>692</v>
      </c>
      <c r="B414" t="s">
        <v>646</v>
      </c>
      <c r="C414" t="s">
        <v>39</v>
      </c>
      <c r="D414" t="s">
        <v>24</v>
      </c>
      <c r="E414">
        <v>133</v>
      </c>
      <c r="F414">
        <v>180</v>
      </c>
      <c r="G414">
        <v>73.89</v>
      </c>
      <c r="H414">
        <v>665265</v>
      </c>
      <c r="I414">
        <v>26982</v>
      </c>
      <c r="J414">
        <v>779446</v>
      </c>
      <c r="K414">
        <v>1196667</v>
      </c>
      <c r="L414">
        <v>6</v>
      </c>
      <c r="M414" t="s">
        <v>33</v>
      </c>
      <c r="N414">
        <v>3.6</v>
      </c>
    </row>
    <row r="415" spans="1:14" x14ac:dyDescent="0.35">
      <c r="A415" t="s">
        <v>693</v>
      </c>
      <c r="B415" t="s">
        <v>694</v>
      </c>
      <c r="C415" t="s">
        <v>76</v>
      </c>
      <c r="D415" t="s">
        <v>43</v>
      </c>
      <c r="E415">
        <v>141</v>
      </c>
      <c r="F415">
        <v>232</v>
      </c>
      <c r="G415">
        <v>60.78</v>
      </c>
      <c r="H415">
        <v>1160778</v>
      </c>
      <c r="I415">
        <v>107529</v>
      </c>
      <c r="J415">
        <v>1063419</v>
      </c>
      <c r="K415">
        <v>1571624</v>
      </c>
      <c r="L415">
        <v>4</v>
      </c>
      <c r="M415" t="s">
        <v>33</v>
      </c>
      <c r="N415">
        <v>3.3</v>
      </c>
    </row>
    <row r="416" spans="1:14" x14ac:dyDescent="0.35">
      <c r="A416" t="s">
        <v>695</v>
      </c>
      <c r="B416" t="s">
        <v>644</v>
      </c>
      <c r="C416" t="s">
        <v>29</v>
      </c>
      <c r="D416" t="s">
        <v>17</v>
      </c>
      <c r="E416">
        <v>69</v>
      </c>
      <c r="F416">
        <v>78</v>
      </c>
      <c r="G416">
        <v>88.46</v>
      </c>
      <c r="H416">
        <v>590635</v>
      </c>
      <c r="I416">
        <v>27936</v>
      </c>
      <c r="J416">
        <v>1123814</v>
      </c>
      <c r="K416">
        <v>1596513</v>
      </c>
      <c r="L416">
        <v>73</v>
      </c>
      <c r="M416" t="s">
        <v>18</v>
      </c>
      <c r="N416">
        <v>4.2</v>
      </c>
    </row>
    <row r="417" spans="1:14" x14ac:dyDescent="0.35">
      <c r="A417" t="s">
        <v>696</v>
      </c>
      <c r="B417" t="s">
        <v>697</v>
      </c>
      <c r="C417" t="s">
        <v>76</v>
      </c>
      <c r="D417" t="s">
        <v>24</v>
      </c>
      <c r="E417">
        <v>122</v>
      </c>
      <c r="F417">
        <v>180</v>
      </c>
      <c r="G417">
        <v>67.78</v>
      </c>
      <c r="H417">
        <v>907633</v>
      </c>
      <c r="I417">
        <v>98208</v>
      </c>
      <c r="J417">
        <v>507286</v>
      </c>
      <c r="K417">
        <v>806974</v>
      </c>
      <c r="L417">
        <v>38</v>
      </c>
      <c r="M417" t="s">
        <v>18</v>
      </c>
      <c r="N417">
        <v>3.4</v>
      </c>
    </row>
    <row r="418" spans="1:14" x14ac:dyDescent="0.35">
      <c r="A418" t="s">
        <v>698</v>
      </c>
      <c r="B418" t="s">
        <v>145</v>
      </c>
      <c r="C418" t="s">
        <v>29</v>
      </c>
      <c r="D418" t="s">
        <v>43</v>
      </c>
      <c r="E418">
        <v>161</v>
      </c>
      <c r="F418">
        <v>232</v>
      </c>
      <c r="G418">
        <v>69.400000000000006</v>
      </c>
      <c r="H418">
        <v>897414</v>
      </c>
      <c r="I418">
        <v>64013</v>
      </c>
      <c r="J418">
        <v>359074</v>
      </c>
      <c r="K418">
        <v>820684</v>
      </c>
      <c r="L418">
        <v>55</v>
      </c>
      <c r="M418" t="s">
        <v>18</v>
      </c>
      <c r="N418">
        <v>3.8</v>
      </c>
    </row>
    <row r="419" spans="1:14" x14ac:dyDescent="0.35">
      <c r="A419" t="s">
        <v>699</v>
      </c>
      <c r="B419" t="s">
        <v>700</v>
      </c>
      <c r="C419" t="s">
        <v>16</v>
      </c>
      <c r="D419" t="s">
        <v>17</v>
      </c>
      <c r="E419">
        <v>49</v>
      </c>
      <c r="F419">
        <v>78</v>
      </c>
      <c r="G419">
        <v>62.82</v>
      </c>
      <c r="H419">
        <v>294621</v>
      </c>
      <c r="I419">
        <v>140274</v>
      </c>
      <c r="J419">
        <v>971937</v>
      </c>
      <c r="K419">
        <v>1107614</v>
      </c>
      <c r="L419">
        <v>40</v>
      </c>
      <c r="M419" t="s">
        <v>18</v>
      </c>
      <c r="N419">
        <v>3.8</v>
      </c>
    </row>
    <row r="420" spans="1:14" x14ac:dyDescent="0.35">
      <c r="A420" t="s">
        <v>701</v>
      </c>
      <c r="B420" t="s">
        <v>100</v>
      </c>
      <c r="C420" t="s">
        <v>59</v>
      </c>
      <c r="D420" t="s">
        <v>24</v>
      </c>
      <c r="E420">
        <v>135</v>
      </c>
      <c r="F420">
        <v>180</v>
      </c>
      <c r="G420">
        <v>75</v>
      </c>
      <c r="H420">
        <v>542718</v>
      </c>
      <c r="I420">
        <v>90968</v>
      </c>
      <c r="J420">
        <v>616097</v>
      </c>
      <c r="K420">
        <v>808128</v>
      </c>
      <c r="L420">
        <v>49</v>
      </c>
      <c r="M420" t="s">
        <v>18</v>
      </c>
      <c r="N420">
        <v>3.9</v>
      </c>
    </row>
    <row r="421" spans="1:14" x14ac:dyDescent="0.35">
      <c r="A421" t="s">
        <v>702</v>
      </c>
      <c r="B421" t="s">
        <v>703</v>
      </c>
      <c r="C421" t="s">
        <v>16</v>
      </c>
      <c r="D421" t="s">
        <v>17</v>
      </c>
      <c r="E421">
        <v>52</v>
      </c>
      <c r="F421">
        <v>78</v>
      </c>
      <c r="G421">
        <v>66.67</v>
      </c>
      <c r="H421">
        <v>232550</v>
      </c>
      <c r="I421">
        <v>69451</v>
      </c>
      <c r="J421">
        <v>445714</v>
      </c>
      <c r="K421">
        <v>1057901</v>
      </c>
      <c r="L421">
        <v>46</v>
      </c>
      <c r="M421" t="s">
        <v>18</v>
      </c>
      <c r="N421">
        <v>3.4</v>
      </c>
    </row>
    <row r="422" spans="1:14" x14ac:dyDescent="0.35">
      <c r="A422" t="s">
        <v>704</v>
      </c>
      <c r="B422" t="s">
        <v>149</v>
      </c>
      <c r="C422" t="s">
        <v>76</v>
      </c>
      <c r="D422" t="s">
        <v>24</v>
      </c>
      <c r="E422">
        <v>170</v>
      </c>
      <c r="F422">
        <v>180</v>
      </c>
      <c r="G422">
        <v>94.44</v>
      </c>
      <c r="H422">
        <v>1367122</v>
      </c>
      <c r="I422">
        <v>47095</v>
      </c>
      <c r="J422">
        <v>773735</v>
      </c>
      <c r="K422">
        <v>1014895</v>
      </c>
      <c r="L422">
        <v>22</v>
      </c>
      <c r="M422" t="s">
        <v>18</v>
      </c>
      <c r="N422">
        <v>3.2</v>
      </c>
    </row>
    <row r="423" spans="1:14" x14ac:dyDescent="0.35">
      <c r="A423" t="s">
        <v>705</v>
      </c>
      <c r="B423" t="s">
        <v>499</v>
      </c>
      <c r="C423" t="s">
        <v>117</v>
      </c>
      <c r="D423" t="s">
        <v>24</v>
      </c>
      <c r="E423">
        <v>166</v>
      </c>
      <c r="F423">
        <v>180</v>
      </c>
      <c r="G423">
        <v>92.22</v>
      </c>
      <c r="H423">
        <v>695559</v>
      </c>
      <c r="I423">
        <v>135885</v>
      </c>
      <c r="J423">
        <v>318240</v>
      </c>
      <c r="K423">
        <v>764364</v>
      </c>
      <c r="L423">
        <v>39</v>
      </c>
      <c r="M423" t="s">
        <v>18</v>
      </c>
      <c r="N423">
        <v>4.8</v>
      </c>
    </row>
    <row r="424" spans="1:14" x14ac:dyDescent="0.35">
      <c r="A424" t="s">
        <v>706</v>
      </c>
      <c r="B424" t="s">
        <v>707</v>
      </c>
      <c r="C424" t="s">
        <v>21</v>
      </c>
      <c r="D424" t="s">
        <v>43</v>
      </c>
      <c r="E424">
        <v>151</v>
      </c>
      <c r="F424">
        <v>232</v>
      </c>
      <c r="G424">
        <v>65.09</v>
      </c>
      <c r="H424">
        <v>1242147</v>
      </c>
      <c r="I424">
        <v>67345</v>
      </c>
      <c r="J424">
        <v>376758</v>
      </c>
      <c r="K424">
        <v>860795</v>
      </c>
      <c r="L424">
        <v>76</v>
      </c>
      <c r="M424" t="s">
        <v>18</v>
      </c>
      <c r="N424">
        <v>4.0999999999999996</v>
      </c>
    </row>
    <row r="425" spans="1:14" x14ac:dyDescent="0.35">
      <c r="A425" t="s">
        <v>708</v>
      </c>
      <c r="B425" t="s">
        <v>250</v>
      </c>
      <c r="C425" t="s">
        <v>29</v>
      </c>
      <c r="D425" t="s">
        <v>17</v>
      </c>
      <c r="E425">
        <v>68</v>
      </c>
      <c r="F425">
        <v>78</v>
      </c>
      <c r="G425">
        <v>87.18</v>
      </c>
      <c r="H425">
        <v>388534</v>
      </c>
      <c r="I425">
        <v>106642</v>
      </c>
      <c r="J425">
        <v>665711</v>
      </c>
      <c r="K425">
        <v>1197839</v>
      </c>
      <c r="L425">
        <v>69</v>
      </c>
      <c r="M425" t="s">
        <v>18</v>
      </c>
      <c r="N425">
        <v>3.8</v>
      </c>
    </row>
    <row r="426" spans="1:14" x14ac:dyDescent="0.35">
      <c r="A426" t="s">
        <v>709</v>
      </c>
      <c r="B426" t="s">
        <v>710</v>
      </c>
      <c r="C426" t="s">
        <v>21</v>
      </c>
      <c r="D426" t="s">
        <v>24</v>
      </c>
      <c r="E426">
        <v>164</v>
      </c>
      <c r="F426">
        <v>180</v>
      </c>
      <c r="G426">
        <v>91.11</v>
      </c>
      <c r="H426">
        <v>741832</v>
      </c>
      <c r="I426">
        <v>115056</v>
      </c>
      <c r="J426">
        <v>1059127</v>
      </c>
      <c r="K426">
        <v>1398098</v>
      </c>
      <c r="L426">
        <v>31</v>
      </c>
      <c r="M426" t="s">
        <v>18</v>
      </c>
      <c r="N426">
        <v>4.7</v>
      </c>
    </row>
    <row r="427" spans="1:14" x14ac:dyDescent="0.35">
      <c r="A427" t="s">
        <v>711</v>
      </c>
      <c r="B427" t="s">
        <v>526</v>
      </c>
      <c r="C427" t="s">
        <v>117</v>
      </c>
      <c r="D427" t="s">
        <v>43</v>
      </c>
      <c r="E427">
        <v>171</v>
      </c>
      <c r="F427">
        <v>232</v>
      </c>
      <c r="G427">
        <v>73.709999999999994</v>
      </c>
      <c r="H427">
        <v>1053630</v>
      </c>
      <c r="I427">
        <v>122298</v>
      </c>
      <c r="J427">
        <v>1050416</v>
      </c>
      <c r="K427">
        <v>1578431</v>
      </c>
      <c r="L427">
        <v>87</v>
      </c>
      <c r="M427" t="s">
        <v>18</v>
      </c>
      <c r="N427">
        <v>4.3</v>
      </c>
    </row>
    <row r="428" spans="1:14" x14ac:dyDescent="0.35">
      <c r="A428" t="s">
        <v>712</v>
      </c>
      <c r="B428" t="s">
        <v>536</v>
      </c>
      <c r="C428" t="s">
        <v>59</v>
      </c>
      <c r="D428" t="s">
        <v>17</v>
      </c>
      <c r="E428">
        <v>63</v>
      </c>
      <c r="F428">
        <v>78</v>
      </c>
      <c r="G428">
        <v>80.77</v>
      </c>
      <c r="H428">
        <v>437624</v>
      </c>
      <c r="I428">
        <v>56632</v>
      </c>
      <c r="J428">
        <v>468373</v>
      </c>
      <c r="K428">
        <v>956175</v>
      </c>
      <c r="L428">
        <v>70</v>
      </c>
      <c r="M428" t="s">
        <v>18</v>
      </c>
      <c r="N428">
        <v>4.7</v>
      </c>
    </row>
    <row r="429" spans="1:14" x14ac:dyDescent="0.35">
      <c r="A429" t="s">
        <v>713</v>
      </c>
      <c r="B429" t="s">
        <v>529</v>
      </c>
      <c r="C429" t="s">
        <v>76</v>
      </c>
      <c r="D429" t="s">
        <v>43</v>
      </c>
      <c r="E429">
        <v>219</v>
      </c>
      <c r="F429">
        <v>232</v>
      </c>
      <c r="G429">
        <v>94.4</v>
      </c>
      <c r="H429">
        <v>858039</v>
      </c>
      <c r="I429">
        <v>36529</v>
      </c>
      <c r="J429">
        <v>1086442</v>
      </c>
      <c r="K429">
        <v>1553627</v>
      </c>
      <c r="L429">
        <v>81</v>
      </c>
      <c r="M429" t="s">
        <v>18</v>
      </c>
      <c r="N429">
        <v>3.4</v>
      </c>
    </row>
    <row r="430" spans="1:14" x14ac:dyDescent="0.35">
      <c r="A430" t="s">
        <v>714</v>
      </c>
      <c r="B430" t="s">
        <v>715</v>
      </c>
      <c r="C430" t="s">
        <v>16</v>
      </c>
      <c r="D430" t="s">
        <v>17</v>
      </c>
      <c r="E430">
        <v>73</v>
      </c>
      <c r="F430">
        <v>78</v>
      </c>
      <c r="G430">
        <v>93.59</v>
      </c>
      <c r="H430">
        <v>647651</v>
      </c>
      <c r="I430">
        <v>140848</v>
      </c>
      <c r="J430">
        <v>545781</v>
      </c>
      <c r="K430">
        <v>1178971</v>
      </c>
      <c r="L430">
        <v>36</v>
      </c>
      <c r="M430" t="s">
        <v>18</v>
      </c>
      <c r="N430">
        <v>4.8</v>
      </c>
    </row>
    <row r="431" spans="1:14" x14ac:dyDescent="0.35">
      <c r="A431" t="s">
        <v>716</v>
      </c>
      <c r="B431" t="s">
        <v>136</v>
      </c>
      <c r="C431" t="s">
        <v>76</v>
      </c>
      <c r="D431" t="s">
        <v>17</v>
      </c>
      <c r="E431">
        <v>47</v>
      </c>
      <c r="F431">
        <v>78</v>
      </c>
      <c r="G431">
        <v>60.26</v>
      </c>
      <c r="H431">
        <v>214049</v>
      </c>
      <c r="I431">
        <v>78825</v>
      </c>
      <c r="J431">
        <v>456906</v>
      </c>
      <c r="K431">
        <v>747423</v>
      </c>
      <c r="L431">
        <v>9</v>
      </c>
      <c r="M431" t="s">
        <v>33</v>
      </c>
      <c r="N431">
        <v>4</v>
      </c>
    </row>
    <row r="432" spans="1:14" x14ac:dyDescent="0.35">
      <c r="A432" t="s">
        <v>717</v>
      </c>
      <c r="B432" t="s">
        <v>718</v>
      </c>
      <c r="C432" t="s">
        <v>76</v>
      </c>
      <c r="D432" t="s">
        <v>24</v>
      </c>
      <c r="E432">
        <v>109</v>
      </c>
      <c r="F432">
        <v>180</v>
      </c>
      <c r="G432">
        <v>60.56</v>
      </c>
      <c r="H432">
        <v>971317</v>
      </c>
      <c r="I432">
        <v>130155</v>
      </c>
      <c r="J432">
        <v>567962</v>
      </c>
      <c r="K432">
        <v>1213246</v>
      </c>
      <c r="L432">
        <v>75</v>
      </c>
      <c r="M432" t="s">
        <v>18</v>
      </c>
      <c r="N432">
        <v>4.7</v>
      </c>
    </row>
    <row r="433" spans="1:14" x14ac:dyDescent="0.35">
      <c r="A433" t="s">
        <v>719</v>
      </c>
      <c r="B433" t="s">
        <v>261</v>
      </c>
      <c r="C433" t="s">
        <v>36</v>
      </c>
      <c r="D433" t="s">
        <v>43</v>
      </c>
      <c r="E433">
        <v>196</v>
      </c>
      <c r="F433">
        <v>232</v>
      </c>
      <c r="G433">
        <v>84.48</v>
      </c>
      <c r="H433">
        <v>989233</v>
      </c>
      <c r="I433">
        <v>86239</v>
      </c>
      <c r="J433">
        <v>253251</v>
      </c>
      <c r="K433">
        <v>364116</v>
      </c>
      <c r="L433">
        <v>35</v>
      </c>
      <c r="M433" t="s">
        <v>18</v>
      </c>
      <c r="N433">
        <v>3.3</v>
      </c>
    </row>
    <row r="434" spans="1:14" x14ac:dyDescent="0.35">
      <c r="A434" t="s">
        <v>720</v>
      </c>
      <c r="B434" t="s">
        <v>206</v>
      </c>
      <c r="C434" t="s">
        <v>59</v>
      </c>
      <c r="D434" t="s">
        <v>17</v>
      </c>
      <c r="E434">
        <v>57</v>
      </c>
      <c r="F434">
        <v>78</v>
      </c>
      <c r="G434">
        <v>73.08</v>
      </c>
      <c r="H434">
        <v>404917</v>
      </c>
      <c r="I434">
        <v>124230</v>
      </c>
      <c r="J434">
        <v>1150889</v>
      </c>
      <c r="K434">
        <v>1370928</v>
      </c>
      <c r="L434">
        <v>30</v>
      </c>
      <c r="M434" t="s">
        <v>18</v>
      </c>
      <c r="N434">
        <v>4</v>
      </c>
    </row>
    <row r="435" spans="1:14" x14ac:dyDescent="0.35">
      <c r="A435" t="s">
        <v>721</v>
      </c>
      <c r="B435" t="s">
        <v>315</v>
      </c>
      <c r="C435" t="s">
        <v>16</v>
      </c>
      <c r="D435" t="s">
        <v>17</v>
      </c>
      <c r="E435">
        <v>59</v>
      </c>
      <c r="F435">
        <v>78</v>
      </c>
      <c r="G435">
        <v>75.64</v>
      </c>
      <c r="H435">
        <v>235754</v>
      </c>
      <c r="I435">
        <v>46465</v>
      </c>
      <c r="J435">
        <v>1009663</v>
      </c>
      <c r="K435">
        <v>1363725</v>
      </c>
      <c r="L435">
        <v>49</v>
      </c>
      <c r="M435" t="s">
        <v>18</v>
      </c>
      <c r="N435">
        <v>4.9000000000000004</v>
      </c>
    </row>
    <row r="436" spans="1:14" x14ac:dyDescent="0.35">
      <c r="A436" t="s">
        <v>722</v>
      </c>
      <c r="B436" t="s">
        <v>177</v>
      </c>
      <c r="C436" t="s">
        <v>32</v>
      </c>
      <c r="D436" t="s">
        <v>24</v>
      </c>
      <c r="E436">
        <v>150</v>
      </c>
      <c r="F436">
        <v>180</v>
      </c>
      <c r="G436">
        <v>83.33</v>
      </c>
      <c r="H436">
        <v>1104335</v>
      </c>
      <c r="I436">
        <v>18995</v>
      </c>
      <c r="J436">
        <v>421277</v>
      </c>
      <c r="K436">
        <v>812466</v>
      </c>
      <c r="L436">
        <v>58</v>
      </c>
      <c r="M436" t="s">
        <v>18</v>
      </c>
      <c r="N436">
        <v>3.2</v>
      </c>
    </row>
    <row r="437" spans="1:14" x14ac:dyDescent="0.35">
      <c r="A437" t="s">
        <v>723</v>
      </c>
      <c r="B437" t="s">
        <v>724</v>
      </c>
      <c r="C437" t="s">
        <v>32</v>
      </c>
      <c r="D437" t="s">
        <v>17</v>
      </c>
      <c r="E437">
        <v>59</v>
      </c>
      <c r="F437">
        <v>78</v>
      </c>
      <c r="G437">
        <v>75.64</v>
      </c>
      <c r="H437">
        <v>511750</v>
      </c>
      <c r="I437">
        <v>42681</v>
      </c>
      <c r="J437">
        <v>490352</v>
      </c>
      <c r="K437">
        <v>1102204</v>
      </c>
      <c r="L437">
        <v>87</v>
      </c>
      <c r="M437" t="s">
        <v>18</v>
      </c>
      <c r="N437">
        <v>3.5</v>
      </c>
    </row>
    <row r="438" spans="1:14" x14ac:dyDescent="0.35">
      <c r="A438" t="s">
        <v>725</v>
      </c>
      <c r="B438" t="s">
        <v>715</v>
      </c>
      <c r="C438" t="s">
        <v>39</v>
      </c>
      <c r="D438" t="s">
        <v>24</v>
      </c>
      <c r="E438">
        <v>119</v>
      </c>
      <c r="F438">
        <v>180</v>
      </c>
      <c r="G438">
        <v>66.11</v>
      </c>
      <c r="H438">
        <v>974358</v>
      </c>
      <c r="I438">
        <v>116117</v>
      </c>
      <c r="J438">
        <v>617395</v>
      </c>
      <c r="K438">
        <v>840572</v>
      </c>
      <c r="L438">
        <v>41</v>
      </c>
      <c r="M438" t="s">
        <v>18</v>
      </c>
      <c r="N438">
        <v>4.3</v>
      </c>
    </row>
    <row r="439" spans="1:14" x14ac:dyDescent="0.35">
      <c r="A439" t="s">
        <v>726</v>
      </c>
      <c r="B439" t="s">
        <v>494</v>
      </c>
      <c r="C439" t="s">
        <v>16</v>
      </c>
      <c r="D439" t="s">
        <v>24</v>
      </c>
      <c r="E439">
        <v>153</v>
      </c>
      <c r="F439">
        <v>180</v>
      </c>
      <c r="G439">
        <v>85</v>
      </c>
      <c r="H439">
        <v>590719</v>
      </c>
      <c r="I439">
        <v>129445</v>
      </c>
      <c r="J439">
        <v>689546</v>
      </c>
      <c r="K439">
        <v>858497</v>
      </c>
      <c r="L439">
        <v>46</v>
      </c>
      <c r="M439" t="s">
        <v>18</v>
      </c>
      <c r="N439">
        <v>3.7</v>
      </c>
    </row>
    <row r="440" spans="1:14" x14ac:dyDescent="0.35">
      <c r="A440" t="s">
        <v>727</v>
      </c>
      <c r="B440" t="s">
        <v>274</v>
      </c>
      <c r="C440" t="s">
        <v>39</v>
      </c>
      <c r="D440" t="s">
        <v>24</v>
      </c>
      <c r="E440">
        <v>176</v>
      </c>
      <c r="F440">
        <v>180</v>
      </c>
      <c r="G440">
        <v>97.78</v>
      </c>
      <c r="H440">
        <v>1529313</v>
      </c>
      <c r="I440">
        <v>78327</v>
      </c>
      <c r="J440">
        <v>585498</v>
      </c>
      <c r="K440">
        <v>1194923</v>
      </c>
      <c r="L440">
        <v>7</v>
      </c>
      <c r="M440" t="s">
        <v>33</v>
      </c>
      <c r="N440">
        <v>3.3</v>
      </c>
    </row>
    <row r="441" spans="1:14" x14ac:dyDescent="0.35">
      <c r="A441" t="s">
        <v>728</v>
      </c>
      <c r="B441" t="s">
        <v>729</v>
      </c>
      <c r="C441" t="s">
        <v>16</v>
      </c>
      <c r="D441" t="s">
        <v>24</v>
      </c>
      <c r="E441">
        <v>110</v>
      </c>
      <c r="F441">
        <v>180</v>
      </c>
      <c r="G441">
        <v>61.11</v>
      </c>
      <c r="H441">
        <v>840758</v>
      </c>
      <c r="I441">
        <v>19251</v>
      </c>
      <c r="J441">
        <v>460777</v>
      </c>
      <c r="K441">
        <v>725008</v>
      </c>
      <c r="L441">
        <v>60</v>
      </c>
      <c r="M441" t="s">
        <v>18</v>
      </c>
      <c r="N441">
        <v>4.0999999999999996</v>
      </c>
    </row>
    <row r="442" spans="1:14" x14ac:dyDescent="0.35">
      <c r="A442" t="s">
        <v>730</v>
      </c>
      <c r="B442" t="s">
        <v>731</v>
      </c>
      <c r="C442" t="s">
        <v>16</v>
      </c>
      <c r="D442" t="s">
        <v>17</v>
      </c>
      <c r="E442">
        <v>58</v>
      </c>
      <c r="F442">
        <v>78</v>
      </c>
      <c r="G442">
        <v>74.36</v>
      </c>
      <c r="H442">
        <v>400665</v>
      </c>
      <c r="I442">
        <v>103802</v>
      </c>
      <c r="J442">
        <v>922612</v>
      </c>
      <c r="K442">
        <v>1039024</v>
      </c>
      <c r="L442">
        <v>82</v>
      </c>
      <c r="M442" t="s">
        <v>18</v>
      </c>
      <c r="N442">
        <v>3.2</v>
      </c>
    </row>
    <row r="443" spans="1:14" x14ac:dyDescent="0.35">
      <c r="A443" t="s">
        <v>732</v>
      </c>
      <c r="B443" t="s">
        <v>733</v>
      </c>
      <c r="C443" t="s">
        <v>76</v>
      </c>
      <c r="D443" t="s">
        <v>17</v>
      </c>
      <c r="E443">
        <v>72</v>
      </c>
      <c r="F443">
        <v>78</v>
      </c>
      <c r="G443">
        <v>92.31</v>
      </c>
      <c r="H443">
        <v>483379</v>
      </c>
      <c r="I443">
        <v>127390</v>
      </c>
      <c r="J443">
        <v>386480</v>
      </c>
      <c r="K443">
        <v>549823</v>
      </c>
      <c r="L443">
        <v>82</v>
      </c>
      <c r="M443" t="s">
        <v>18</v>
      </c>
      <c r="N443">
        <v>4.3</v>
      </c>
    </row>
    <row r="444" spans="1:14" x14ac:dyDescent="0.35">
      <c r="A444" t="s">
        <v>734</v>
      </c>
      <c r="B444" t="s">
        <v>218</v>
      </c>
      <c r="C444" t="s">
        <v>32</v>
      </c>
      <c r="D444" t="s">
        <v>17</v>
      </c>
      <c r="E444">
        <v>50</v>
      </c>
      <c r="F444">
        <v>78</v>
      </c>
      <c r="G444">
        <v>64.099999999999994</v>
      </c>
      <c r="H444">
        <v>245644</v>
      </c>
      <c r="I444">
        <v>85404</v>
      </c>
      <c r="J444">
        <v>587159</v>
      </c>
      <c r="K444">
        <v>1198398</v>
      </c>
      <c r="L444">
        <v>82</v>
      </c>
      <c r="M444" t="s">
        <v>18</v>
      </c>
      <c r="N444">
        <v>4.8</v>
      </c>
    </row>
    <row r="445" spans="1:14" x14ac:dyDescent="0.35">
      <c r="A445" t="s">
        <v>735</v>
      </c>
      <c r="B445" t="s">
        <v>402</v>
      </c>
      <c r="C445" t="s">
        <v>29</v>
      </c>
      <c r="D445" t="s">
        <v>43</v>
      </c>
      <c r="E445">
        <v>143</v>
      </c>
      <c r="F445">
        <v>232</v>
      </c>
      <c r="G445">
        <v>61.64</v>
      </c>
      <c r="H445">
        <v>584761</v>
      </c>
      <c r="I445">
        <v>44070</v>
      </c>
      <c r="J445">
        <v>669072</v>
      </c>
      <c r="K445">
        <v>990032</v>
      </c>
      <c r="L445">
        <v>48</v>
      </c>
      <c r="M445" t="s">
        <v>18</v>
      </c>
      <c r="N445">
        <v>4.3</v>
      </c>
    </row>
    <row r="446" spans="1:14" x14ac:dyDescent="0.35">
      <c r="A446" t="s">
        <v>736</v>
      </c>
      <c r="B446" t="s">
        <v>335</v>
      </c>
      <c r="C446" t="s">
        <v>29</v>
      </c>
      <c r="D446" t="s">
        <v>43</v>
      </c>
      <c r="E446">
        <v>157</v>
      </c>
      <c r="F446">
        <v>232</v>
      </c>
      <c r="G446">
        <v>67.67</v>
      </c>
      <c r="H446">
        <v>561906</v>
      </c>
      <c r="I446">
        <v>40516</v>
      </c>
      <c r="J446">
        <v>278443</v>
      </c>
      <c r="K446">
        <v>405827</v>
      </c>
      <c r="L446">
        <v>76</v>
      </c>
      <c r="M446" t="s">
        <v>18</v>
      </c>
      <c r="N446">
        <v>3.8</v>
      </c>
    </row>
    <row r="447" spans="1:14" x14ac:dyDescent="0.35">
      <c r="A447" t="s">
        <v>737</v>
      </c>
      <c r="B447" t="s">
        <v>538</v>
      </c>
      <c r="C447" t="s">
        <v>117</v>
      </c>
      <c r="D447" t="s">
        <v>24</v>
      </c>
      <c r="E447">
        <v>172</v>
      </c>
      <c r="F447">
        <v>180</v>
      </c>
      <c r="G447">
        <v>95.56</v>
      </c>
      <c r="H447">
        <v>1376384</v>
      </c>
      <c r="I447">
        <v>114380</v>
      </c>
      <c r="J447">
        <v>264458</v>
      </c>
      <c r="K447">
        <v>531898</v>
      </c>
      <c r="L447">
        <v>83</v>
      </c>
      <c r="M447" t="s">
        <v>18</v>
      </c>
      <c r="N447">
        <v>3.5</v>
      </c>
    </row>
    <row r="448" spans="1:14" x14ac:dyDescent="0.35">
      <c r="A448" t="s">
        <v>738</v>
      </c>
      <c r="B448" t="s">
        <v>682</v>
      </c>
      <c r="C448" t="s">
        <v>117</v>
      </c>
      <c r="D448" t="s">
        <v>43</v>
      </c>
      <c r="E448">
        <v>226</v>
      </c>
      <c r="F448">
        <v>232</v>
      </c>
      <c r="G448">
        <v>97.41</v>
      </c>
      <c r="H448">
        <v>1081592</v>
      </c>
      <c r="I448">
        <v>116453</v>
      </c>
      <c r="J448">
        <v>1187576</v>
      </c>
      <c r="K448">
        <v>1419292</v>
      </c>
      <c r="L448">
        <v>21</v>
      </c>
      <c r="M448" t="s">
        <v>18</v>
      </c>
      <c r="N448">
        <v>4.8</v>
      </c>
    </row>
    <row r="449" spans="1:14" x14ac:dyDescent="0.35">
      <c r="A449" t="s">
        <v>739</v>
      </c>
      <c r="B449" t="s">
        <v>319</v>
      </c>
      <c r="C449" t="s">
        <v>32</v>
      </c>
      <c r="D449" t="s">
        <v>17</v>
      </c>
      <c r="E449">
        <v>64</v>
      </c>
      <c r="F449">
        <v>78</v>
      </c>
      <c r="G449">
        <v>82.05</v>
      </c>
      <c r="H449">
        <v>327867</v>
      </c>
      <c r="I449">
        <v>60780</v>
      </c>
      <c r="J449">
        <v>334402</v>
      </c>
      <c r="K449">
        <v>438747</v>
      </c>
      <c r="L449">
        <v>2</v>
      </c>
      <c r="M449" t="s">
        <v>33</v>
      </c>
      <c r="N449">
        <v>4.7</v>
      </c>
    </row>
    <row r="450" spans="1:14" x14ac:dyDescent="0.35">
      <c r="A450" t="s">
        <v>740</v>
      </c>
      <c r="B450" t="s">
        <v>509</v>
      </c>
      <c r="C450" t="s">
        <v>39</v>
      </c>
      <c r="D450" t="s">
        <v>43</v>
      </c>
      <c r="E450">
        <v>216</v>
      </c>
      <c r="F450">
        <v>232</v>
      </c>
      <c r="G450">
        <v>93.1</v>
      </c>
      <c r="H450">
        <v>985603</v>
      </c>
      <c r="I450">
        <v>76367</v>
      </c>
      <c r="J450">
        <v>670332</v>
      </c>
      <c r="K450">
        <v>1281153</v>
      </c>
      <c r="L450">
        <v>72</v>
      </c>
      <c r="M450" t="s">
        <v>18</v>
      </c>
      <c r="N450">
        <v>3.4</v>
      </c>
    </row>
    <row r="451" spans="1:14" x14ac:dyDescent="0.35">
      <c r="A451" t="s">
        <v>741</v>
      </c>
      <c r="B451" t="s">
        <v>742</v>
      </c>
      <c r="C451" t="s">
        <v>42</v>
      </c>
      <c r="D451" t="s">
        <v>43</v>
      </c>
      <c r="E451">
        <v>142</v>
      </c>
      <c r="F451">
        <v>232</v>
      </c>
      <c r="G451">
        <v>61.21</v>
      </c>
      <c r="H451">
        <v>601145</v>
      </c>
      <c r="I451">
        <v>86486</v>
      </c>
      <c r="J451">
        <v>918508</v>
      </c>
      <c r="K451">
        <v>1420792</v>
      </c>
      <c r="L451">
        <v>90</v>
      </c>
      <c r="M451" t="s">
        <v>18</v>
      </c>
      <c r="N451">
        <v>3.8</v>
      </c>
    </row>
    <row r="452" spans="1:14" x14ac:dyDescent="0.35">
      <c r="A452" t="s">
        <v>743</v>
      </c>
      <c r="B452" t="s">
        <v>189</v>
      </c>
      <c r="C452" t="s">
        <v>21</v>
      </c>
      <c r="D452" t="s">
        <v>24</v>
      </c>
      <c r="E452">
        <v>125</v>
      </c>
      <c r="F452">
        <v>180</v>
      </c>
      <c r="G452">
        <v>69.44</v>
      </c>
      <c r="H452">
        <v>1106066</v>
      </c>
      <c r="I452">
        <v>91095</v>
      </c>
      <c r="J452">
        <v>846109</v>
      </c>
      <c r="K452">
        <v>1506052</v>
      </c>
      <c r="L452">
        <v>15</v>
      </c>
      <c r="M452" t="s">
        <v>33</v>
      </c>
      <c r="N452">
        <v>3.8</v>
      </c>
    </row>
    <row r="453" spans="1:14" x14ac:dyDescent="0.35">
      <c r="A453" t="s">
        <v>744</v>
      </c>
      <c r="B453" t="s">
        <v>571</v>
      </c>
      <c r="C453" t="s">
        <v>16</v>
      </c>
      <c r="D453" t="s">
        <v>24</v>
      </c>
      <c r="E453">
        <v>109</v>
      </c>
      <c r="F453">
        <v>180</v>
      </c>
      <c r="G453">
        <v>60.56</v>
      </c>
      <c r="H453">
        <v>493794</v>
      </c>
      <c r="I453">
        <v>96337</v>
      </c>
      <c r="J453">
        <v>1175883</v>
      </c>
      <c r="K453">
        <v>1440108</v>
      </c>
      <c r="L453">
        <v>55</v>
      </c>
      <c r="M453" t="s">
        <v>18</v>
      </c>
      <c r="N453">
        <v>4.0999999999999996</v>
      </c>
    </row>
    <row r="454" spans="1:14" x14ac:dyDescent="0.35">
      <c r="A454" t="s">
        <v>745</v>
      </c>
      <c r="B454" t="s">
        <v>550</v>
      </c>
      <c r="C454" t="s">
        <v>29</v>
      </c>
      <c r="D454" t="s">
        <v>17</v>
      </c>
      <c r="E454">
        <v>75</v>
      </c>
      <c r="F454">
        <v>78</v>
      </c>
      <c r="G454">
        <v>96.15</v>
      </c>
      <c r="H454">
        <v>551497</v>
      </c>
      <c r="I454">
        <v>52338</v>
      </c>
      <c r="J454">
        <v>1133991</v>
      </c>
      <c r="K454">
        <v>1703968</v>
      </c>
      <c r="L454">
        <v>90</v>
      </c>
      <c r="M454" t="s">
        <v>18</v>
      </c>
      <c r="N454">
        <v>3.2</v>
      </c>
    </row>
    <row r="455" spans="1:14" x14ac:dyDescent="0.35">
      <c r="A455" t="s">
        <v>746</v>
      </c>
      <c r="B455" t="s">
        <v>193</v>
      </c>
      <c r="C455" t="s">
        <v>39</v>
      </c>
      <c r="D455" t="s">
        <v>43</v>
      </c>
      <c r="E455">
        <v>221</v>
      </c>
      <c r="F455">
        <v>232</v>
      </c>
      <c r="G455">
        <v>95.26</v>
      </c>
      <c r="H455">
        <v>1122523</v>
      </c>
      <c r="I455">
        <v>83957</v>
      </c>
      <c r="J455">
        <v>1005951</v>
      </c>
      <c r="K455">
        <v>1426536</v>
      </c>
      <c r="L455">
        <v>28</v>
      </c>
      <c r="M455" t="s">
        <v>18</v>
      </c>
      <c r="N455">
        <v>4.5999999999999996</v>
      </c>
    </row>
    <row r="456" spans="1:14" x14ac:dyDescent="0.35">
      <c r="A456" t="s">
        <v>747</v>
      </c>
      <c r="B456" t="s">
        <v>748</v>
      </c>
      <c r="C456" t="s">
        <v>39</v>
      </c>
      <c r="D456" t="s">
        <v>43</v>
      </c>
      <c r="E456">
        <v>151</v>
      </c>
      <c r="F456">
        <v>232</v>
      </c>
      <c r="G456">
        <v>65.09</v>
      </c>
      <c r="H456">
        <v>705205</v>
      </c>
      <c r="I456">
        <v>112711</v>
      </c>
      <c r="J456">
        <v>383713</v>
      </c>
      <c r="K456">
        <v>871063</v>
      </c>
      <c r="L456">
        <v>22</v>
      </c>
      <c r="M456" t="s">
        <v>18</v>
      </c>
      <c r="N456">
        <v>3.6</v>
      </c>
    </row>
    <row r="457" spans="1:14" x14ac:dyDescent="0.35">
      <c r="A457" t="s">
        <v>749</v>
      </c>
      <c r="B457" t="s">
        <v>750</v>
      </c>
      <c r="C457" t="s">
        <v>117</v>
      </c>
      <c r="D457" t="s">
        <v>43</v>
      </c>
      <c r="E457">
        <v>221</v>
      </c>
      <c r="F457">
        <v>232</v>
      </c>
      <c r="G457">
        <v>95.26</v>
      </c>
      <c r="H457">
        <v>1090797</v>
      </c>
      <c r="I457">
        <v>68203</v>
      </c>
      <c r="J457">
        <v>1128686</v>
      </c>
      <c r="K457">
        <v>1267258</v>
      </c>
      <c r="L457">
        <v>44</v>
      </c>
      <c r="M457" t="s">
        <v>18</v>
      </c>
      <c r="N457">
        <v>4.7</v>
      </c>
    </row>
    <row r="458" spans="1:14" x14ac:dyDescent="0.35">
      <c r="A458" t="s">
        <v>751</v>
      </c>
      <c r="B458" t="s">
        <v>195</v>
      </c>
      <c r="C458" t="s">
        <v>59</v>
      </c>
      <c r="D458" t="s">
        <v>24</v>
      </c>
      <c r="E458">
        <v>118</v>
      </c>
      <c r="F458">
        <v>180</v>
      </c>
      <c r="G458">
        <v>65.56</v>
      </c>
      <c r="H458">
        <v>799634</v>
      </c>
      <c r="I458">
        <v>130258</v>
      </c>
      <c r="J458">
        <v>1010519</v>
      </c>
      <c r="K458">
        <v>1319956</v>
      </c>
      <c r="L458">
        <v>55</v>
      </c>
      <c r="M458" t="s">
        <v>18</v>
      </c>
      <c r="N458">
        <v>4.5999999999999996</v>
      </c>
    </row>
    <row r="459" spans="1:14" x14ac:dyDescent="0.35">
      <c r="A459" t="s">
        <v>752</v>
      </c>
      <c r="B459" t="s">
        <v>733</v>
      </c>
      <c r="C459" t="s">
        <v>39</v>
      </c>
      <c r="D459" t="s">
        <v>24</v>
      </c>
      <c r="E459">
        <v>173</v>
      </c>
      <c r="F459">
        <v>180</v>
      </c>
      <c r="G459">
        <v>96.11</v>
      </c>
      <c r="H459">
        <v>1135237</v>
      </c>
      <c r="I459">
        <v>79615</v>
      </c>
      <c r="J459">
        <v>1059090</v>
      </c>
      <c r="K459">
        <v>1259808</v>
      </c>
      <c r="L459">
        <v>17</v>
      </c>
      <c r="M459" t="s">
        <v>18</v>
      </c>
      <c r="N459">
        <v>3.9</v>
      </c>
    </row>
    <row r="460" spans="1:14" x14ac:dyDescent="0.35">
      <c r="A460" t="s">
        <v>753</v>
      </c>
      <c r="B460" t="s">
        <v>63</v>
      </c>
      <c r="C460" t="s">
        <v>117</v>
      </c>
      <c r="D460" t="s">
        <v>43</v>
      </c>
      <c r="E460">
        <v>212</v>
      </c>
      <c r="F460">
        <v>232</v>
      </c>
      <c r="G460">
        <v>91.38</v>
      </c>
      <c r="H460">
        <v>1861170</v>
      </c>
      <c r="I460">
        <v>95926</v>
      </c>
      <c r="J460">
        <v>439940</v>
      </c>
      <c r="K460">
        <v>542535</v>
      </c>
      <c r="L460">
        <v>89</v>
      </c>
      <c r="M460" t="s">
        <v>18</v>
      </c>
      <c r="N460">
        <v>4.7</v>
      </c>
    </row>
    <row r="461" spans="1:14" x14ac:dyDescent="0.35">
      <c r="A461" t="s">
        <v>754</v>
      </c>
      <c r="B461" t="s">
        <v>306</v>
      </c>
      <c r="C461" t="s">
        <v>117</v>
      </c>
      <c r="D461" t="s">
        <v>17</v>
      </c>
      <c r="E461">
        <v>57</v>
      </c>
      <c r="F461">
        <v>78</v>
      </c>
      <c r="G461">
        <v>73.08</v>
      </c>
      <c r="H461">
        <v>486243</v>
      </c>
      <c r="I461">
        <v>29649</v>
      </c>
      <c r="J461">
        <v>314991</v>
      </c>
      <c r="K461">
        <v>461166</v>
      </c>
      <c r="L461">
        <v>71</v>
      </c>
      <c r="M461" t="s">
        <v>18</v>
      </c>
      <c r="N461">
        <v>3.3</v>
      </c>
    </row>
    <row r="462" spans="1:14" x14ac:dyDescent="0.35">
      <c r="A462" t="s">
        <v>755</v>
      </c>
      <c r="B462" t="s">
        <v>364</v>
      </c>
      <c r="C462" t="s">
        <v>29</v>
      </c>
      <c r="D462" t="s">
        <v>24</v>
      </c>
      <c r="E462">
        <v>128</v>
      </c>
      <c r="F462">
        <v>180</v>
      </c>
      <c r="G462">
        <v>71.11</v>
      </c>
      <c r="H462">
        <v>1109547</v>
      </c>
      <c r="I462">
        <v>141585</v>
      </c>
      <c r="J462">
        <v>1056460</v>
      </c>
      <c r="K462">
        <v>1610064</v>
      </c>
      <c r="L462">
        <v>8</v>
      </c>
      <c r="M462" t="s">
        <v>33</v>
      </c>
      <c r="N462">
        <v>4.3</v>
      </c>
    </row>
    <row r="463" spans="1:14" x14ac:dyDescent="0.35">
      <c r="A463" t="s">
        <v>756</v>
      </c>
      <c r="B463" t="s">
        <v>189</v>
      </c>
      <c r="C463" t="s">
        <v>36</v>
      </c>
      <c r="D463" t="s">
        <v>17</v>
      </c>
      <c r="E463">
        <v>69</v>
      </c>
      <c r="F463">
        <v>78</v>
      </c>
      <c r="G463">
        <v>88.46</v>
      </c>
      <c r="H463">
        <v>574659</v>
      </c>
      <c r="I463">
        <v>41055</v>
      </c>
      <c r="J463">
        <v>652996</v>
      </c>
      <c r="K463">
        <v>1161455</v>
      </c>
      <c r="L463">
        <v>48</v>
      </c>
      <c r="M463" t="s">
        <v>18</v>
      </c>
      <c r="N463">
        <v>4.8</v>
      </c>
    </row>
    <row r="464" spans="1:14" x14ac:dyDescent="0.35">
      <c r="A464" t="s">
        <v>757</v>
      </c>
      <c r="B464" t="s">
        <v>758</v>
      </c>
      <c r="C464" t="s">
        <v>16</v>
      </c>
      <c r="D464" t="s">
        <v>24</v>
      </c>
      <c r="E464">
        <v>110</v>
      </c>
      <c r="F464">
        <v>180</v>
      </c>
      <c r="G464">
        <v>61.11</v>
      </c>
      <c r="H464">
        <v>573278</v>
      </c>
      <c r="I464">
        <v>38414</v>
      </c>
      <c r="J464">
        <v>323052</v>
      </c>
      <c r="K464">
        <v>527352</v>
      </c>
      <c r="L464">
        <v>18</v>
      </c>
      <c r="M464" t="s">
        <v>18</v>
      </c>
      <c r="N464">
        <v>3.7</v>
      </c>
    </row>
    <row r="465" spans="1:14" x14ac:dyDescent="0.35">
      <c r="A465" t="s">
        <v>759</v>
      </c>
      <c r="B465" t="s">
        <v>420</v>
      </c>
      <c r="C465" t="s">
        <v>36</v>
      </c>
      <c r="D465" t="s">
        <v>17</v>
      </c>
      <c r="E465">
        <v>71</v>
      </c>
      <c r="F465">
        <v>78</v>
      </c>
      <c r="G465">
        <v>91.03</v>
      </c>
      <c r="H465">
        <v>479435</v>
      </c>
      <c r="I465">
        <v>22669</v>
      </c>
      <c r="J465">
        <v>907012</v>
      </c>
      <c r="K465">
        <v>1557358</v>
      </c>
      <c r="L465">
        <v>70</v>
      </c>
      <c r="M465" t="s">
        <v>18</v>
      </c>
      <c r="N465">
        <v>4.7</v>
      </c>
    </row>
    <row r="466" spans="1:14" x14ac:dyDescent="0.35">
      <c r="A466" t="s">
        <v>760</v>
      </c>
      <c r="B466" t="s">
        <v>431</v>
      </c>
      <c r="C466" t="s">
        <v>29</v>
      </c>
      <c r="D466" t="s">
        <v>17</v>
      </c>
      <c r="E466">
        <v>51</v>
      </c>
      <c r="F466">
        <v>78</v>
      </c>
      <c r="G466">
        <v>65.38</v>
      </c>
      <c r="H466">
        <v>191493</v>
      </c>
      <c r="I466">
        <v>27279</v>
      </c>
      <c r="J466">
        <v>408942</v>
      </c>
      <c r="K466">
        <v>963308</v>
      </c>
      <c r="L466">
        <v>39</v>
      </c>
      <c r="M466" t="s">
        <v>18</v>
      </c>
      <c r="N466">
        <v>4.5</v>
      </c>
    </row>
    <row r="467" spans="1:14" x14ac:dyDescent="0.35">
      <c r="A467" t="s">
        <v>761</v>
      </c>
      <c r="B467" t="s">
        <v>98</v>
      </c>
      <c r="C467" t="s">
        <v>16</v>
      </c>
      <c r="D467" t="s">
        <v>17</v>
      </c>
      <c r="E467">
        <v>64</v>
      </c>
      <c r="F467">
        <v>78</v>
      </c>
      <c r="G467">
        <v>82.05</v>
      </c>
      <c r="H467">
        <v>528954</v>
      </c>
      <c r="I467">
        <v>108141</v>
      </c>
      <c r="J467">
        <v>905840</v>
      </c>
      <c r="K467">
        <v>1597721</v>
      </c>
      <c r="L467">
        <v>84</v>
      </c>
      <c r="M467" t="s">
        <v>18</v>
      </c>
      <c r="N467">
        <v>4.9000000000000004</v>
      </c>
    </row>
    <row r="468" spans="1:14" x14ac:dyDescent="0.35">
      <c r="A468" t="s">
        <v>762</v>
      </c>
      <c r="B468" t="s">
        <v>283</v>
      </c>
      <c r="C468" t="s">
        <v>76</v>
      </c>
      <c r="D468" t="s">
        <v>17</v>
      </c>
      <c r="E468">
        <v>49</v>
      </c>
      <c r="F468">
        <v>78</v>
      </c>
      <c r="G468">
        <v>62.82</v>
      </c>
      <c r="H468">
        <v>348378</v>
      </c>
      <c r="I468">
        <v>92729</v>
      </c>
      <c r="J468">
        <v>332827</v>
      </c>
      <c r="K468">
        <v>756932</v>
      </c>
      <c r="L468">
        <v>90</v>
      </c>
      <c r="M468" t="s">
        <v>18</v>
      </c>
      <c r="N468">
        <v>4.5</v>
      </c>
    </row>
    <row r="469" spans="1:14" x14ac:dyDescent="0.35">
      <c r="A469" t="s">
        <v>763</v>
      </c>
      <c r="B469" t="s">
        <v>344</v>
      </c>
      <c r="C469" t="s">
        <v>42</v>
      </c>
      <c r="D469" t="s">
        <v>17</v>
      </c>
      <c r="E469">
        <v>75</v>
      </c>
      <c r="F469">
        <v>78</v>
      </c>
      <c r="G469">
        <v>96.15</v>
      </c>
      <c r="H469">
        <v>264269</v>
      </c>
      <c r="I469">
        <v>40508</v>
      </c>
      <c r="J469">
        <v>1193151</v>
      </c>
      <c r="K469">
        <v>1850834</v>
      </c>
      <c r="L469">
        <v>1</v>
      </c>
      <c r="M469" t="s">
        <v>33</v>
      </c>
      <c r="N469">
        <v>3.9</v>
      </c>
    </row>
    <row r="470" spans="1:14" x14ac:dyDescent="0.35">
      <c r="A470" t="s">
        <v>764</v>
      </c>
      <c r="B470" t="s">
        <v>313</v>
      </c>
      <c r="C470" t="s">
        <v>117</v>
      </c>
      <c r="D470" t="s">
        <v>24</v>
      </c>
      <c r="E470">
        <v>153</v>
      </c>
      <c r="F470">
        <v>180</v>
      </c>
      <c r="G470">
        <v>85</v>
      </c>
      <c r="H470">
        <v>1275932</v>
      </c>
      <c r="I470">
        <v>147474</v>
      </c>
      <c r="J470">
        <v>1033098</v>
      </c>
      <c r="K470">
        <v>1191369</v>
      </c>
      <c r="L470">
        <v>34</v>
      </c>
      <c r="M470" t="s">
        <v>18</v>
      </c>
      <c r="N470">
        <v>3.4</v>
      </c>
    </row>
    <row r="471" spans="1:14" x14ac:dyDescent="0.35">
      <c r="A471" t="s">
        <v>765</v>
      </c>
      <c r="B471" t="s">
        <v>317</v>
      </c>
      <c r="C471" t="s">
        <v>42</v>
      </c>
      <c r="D471" t="s">
        <v>43</v>
      </c>
      <c r="E471">
        <v>152</v>
      </c>
      <c r="F471">
        <v>232</v>
      </c>
      <c r="G471">
        <v>65.52</v>
      </c>
      <c r="H471">
        <v>755810</v>
      </c>
      <c r="I471">
        <v>53018</v>
      </c>
      <c r="J471">
        <v>627655</v>
      </c>
      <c r="K471">
        <v>776230</v>
      </c>
      <c r="L471">
        <v>14</v>
      </c>
      <c r="M471" t="s">
        <v>33</v>
      </c>
      <c r="N471">
        <v>4.7</v>
      </c>
    </row>
    <row r="472" spans="1:14" x14ac:dyDescent="0.35">
      <c r="A472" t="s">
        <v>766</v>
      </c>
      <c r="B472" t="s">
        <v>325</v>
      </c>
      <c r="C472" t="s">
        <v>21</v>
      </c>
      <c r="D472" t="s">
        <v>24</v>
      </c>
      <c r="E472">
        <v>144</v>
      </c>
      <c r="F472">
        <v>180</v>
      </c>
      <c r="G472">
        <v>80</v>
      </c>
      <c r="H472">
        <v>689577</v>
      </c>
      <c r="I472">
        <v>72486</v>
      </c>
      <c r="J472">
        <v>681057</v>
      </c>
      <c r="K472">
        <v>1039719</v>
      </c>
      <c r="L472">
        <v>70</v>
      </c>
      <c r="M472" t="s">
        <v>18</v>
      </c>
      <c r="N472">
        <v>3.7</v>
      </c>
    </row>
    <row r="473" spans="1:14" x14ac:dyDescent="0.35">
      <c r="A473" t="s">
        <v>767</v>
      </c>
      <c r="B473" t="s">
        <v>697</v>
      </c>
      <c r="C473" t="s">
        <v>36</v>
      </c>
      <c r="D473" t="s">
        <v>17</v>
      </c>
      <c r="E473">
        <v>55</v>
      </c>
      <c r="F473">
        <v>78</v>
      </c>
      <c r="G473">
        <v>70.510000000000005</v>
      </c>
      <c r="H473">
        <v>218145</v>
      </c>
      <c r="I473">
        <v>119754</v>
      </c>
      <c r="J473">
        <v>765597</v>
      </c>
      <c r="K473">
        <v>1116888</v>
      </c>
      <c r="L473">
        <v>68</v>
      </c>
      <c r="M473" t="s">
        <v>18</v>
      </c>
      <c r="N473">
        <v>4.9000000000000004</v>
      </c>
    </row>
    <row r="474" spans="1:14" x14ac:dyDescent="0.35">
      <c r="A474" t="s">
        <v>768</v>
      </c>
      <c r="B474" t="s">
        <v>769</v>
      </c>
      <c r="C474" t="s">
        <v>117</v>
      </c>
      <c r="D474" t="s">
        <v>24</v>
      </c>
      <c r="E474">
        <v>166</v>
      </c>
      <c r="F474">
        <v>180</v>
      </c>
      <c r="G474">
        <v>92.22</v>
      </c>
      <c r="H474">
        <v>1216159</v>
      </c>
      <c r="I474">
        <v>103021</v>
      </c>
      <c r="J474">
        <v>920194</v>
      </c>
      <c r="K474">
        <v>1204768</v>
      </c>
      <c r="L474">
        <v>55</v>
      </c>
      <c r="M474" t="s">
        <v>18</v>
      </c>
      <c r="N474">
        <v>4.5</v>
      </c>
    </row>
    <row r="475" spans="1:14" x14ac:dyDescent="0.35">
      <c r="A475" t="s">
        <v>770</v>
      </c>
      <c r="B475" t="s">
        <v>270</v>
      </c>
      <c r="C475" t="s">
        <v>36</v>
      </c>
      <c r="D475" t="s">
        <v>17</v>
      </c>
      <c r="E475">
        <v>60</v>
      </c>
      <c r="F475">
        <v>78</v>
      </c>
      <c r="G475">
        <v>76.92</v>
      </c>
      <c r="H475">
        <v>384302</v>
      </c>
      <c r="I475">
        <v>15118</v>
      </c>
      <c r="J475">
        <v>878342</v>
      </c>
      <c r="K475">
        <v>1498021</v>
      </c>
      <c r="L475">
        <v>86</v>
      </c>
      <c r="M475" t="s">
        <v>18</v>
      </c>
      <c r="N475">
        <v>4.7</v>
      </c>
    </row>
    <row r="476" spans="1:14" x14ac:dyDescent="0.35">
      <c r="A476" t="s">
        <v>771</v>
      </c>
      <c r="B476" t="s">
        <v>189</v>
      </c>
      <c r="C476" t="s">
        <v>29</v>
      </c>
      <c r="D476" t="s">
        <v>43</v>
      </c>
      <c r="E476">
        <v>153</v>
      </c>
      <c r="F476">
        <v>232</v>
      </c>
      <c r="G476">
        <v>65.95</v>
      </c>
      <c r="H476">
        <v>1171568</v>
      </c>
      <c r="I476">
        <v>136162</v>
      </c>
      <c r="J476">
        <v>720210</v>
      </c>
      <c r="K476">
        <v>917870</v>
      </c>
      <c r="L476">
        <v>25</v>
      </c>
      <c r="M476" t="s">
        <v>18</v>
      </c>
      <c r="N476">
        <v>4.8</v>
      </c>
    </row>
    <row r="477" spans="1:14" x14ac:dyDescent="0.35">
      <c r="A477" t="s">
        <v>772</v>
      </c>
      <c r="B477" t="s">
        <v>270</v>
      </c>
      <c r="C477" t="s">
        <v>76</v>
      </c>
      <c r="D477" t="s">
        <v>43</v>
      </c>
      <c r="E477">
        <v>142</v>
      </c>
      <c r="F477">
        <v>232</v>
      </c>
      <c r="G477">
        <v>61.21</v>
      </c>
      <c r="H477">
        <v>950768</v>
      </c>
      <c r="I477">
        <v>78091</v>
      </c>
      <c r="J477">
        <v>509622</v>
      </c>
      <c r="K477">
        <v>812999</v>
      </c>
      <c r="L477">
        <v>58</v>
      </c>
      <c r="M477" t="s">
        <v>18</v>
      </c>
      <c r="N477">
        <v>4.4000000000000004</v>
      </c>
    </row>
    <row r="478" spans="1:14" x14ac:dyDescent="0.35">
      <c r="A478" t="s">
        <v>773</v>
      </c>
      <c r="B478" t="s">
        <v>224</v>
      </c>
      <c r="C478" t="s">
        <v>36</v>
      </c>
      <c r="D478" t="s">
        <v>24</v>
      </c>
      <c r="E478">
        <v>164</v>
      </c>
      <c r="F478">
        <v>180</v>
      </c>
      <c r="G478">
        <v>91.11</v>
      </c>
      <c r="H478">
        <v>678259</v>
      </c>
      <c r="I478">
        <v>148251</v>
      </c>
      <c r="J478">
        <v>751142</v>
      </c>
      <c r="K478">
        <v>1069526</v>
      </c>
      <c r="L478">
        <v>70</v>
      </c>
      <c r="M478" t="s">
        <v>18</v>
      </c>
      <c r="N478">
        <v>3.9</v>
      </c>
    </row>
    <row r="479" spans="1:14" x14ac:dyDescent="0.35">
      <c r="A479" t="s">
        <v>774</v>
      </c>
      <c r="B479" t="s">
        <v>243</v>
      </c>
      <c r="C479" t="s">
        <v>16</v>
      </c>
      <c r="D479" t="s">
        <v>43</v>
      </c>
      <c r="E479">
        <v>209</v>
      </c>
      <c r="F479">
        <v>232</v>
      </c>
      <c r="G479">
        <v>90.09</v>
      </c>
      <c r="H479">
        <v>1551823</v>
      </c>
      <c r="I479">
        <v>47130</v>
      </c>
      <c r="J479">
        <v>1058058</v>
      </c>
      <c r="K479">
        <v>1309242</v>
      </c>
      <c r="L479">
        <v>6</v>
      </c>
      <c r="M479" t="s">
        <v>33</v>
      </c>
      <c r="N479">
        <v>3.3</v>
      </c>
    </row>
    <row r="480" spans="1:14" x14ac:dyDescent="0.35">
      <c r="A480" t="s">
        <v>775</v>
      </c>
      <c r="B480" t="s">
        <v>776</v>
      </c>
      <c r="C480" t="s">
        <v>59</v>
      </c>
      <c r="D480" t="s">
        <v>17</v>
      </c>
      <c r="E480">
        <v>70</v>
      </c>
      <c r="F480">
        <v>78</v>
      </c>
      <c r="G480">
        <v>89.74</v>
      </c>
      <c r="H480">
        <v>403098</v>
      </c>
      <c r="I480">
        <v>74007</v>
      </c>
      <c r="J480">
        <v>1139929</v>
      </c>
      <c r="K480">
        <v>1471122</v>
      </c>
      <c r="L480">
        <v>4</v>
      </c>
      <c r="M480" t="s">
        <v>33</v>
      </c>
      <c r="N480">
        <v>4.5</v>
      </c>
    </row>
    <row r="481" spans="1:14" x14ac:dyDescent="0.35">
      <c r="A481" t="s">
        <v>777</v>
      </c>
      <c r="B481" t="s">
        <v>218</v>
      </c>
      <c r="C481" t="s">
        <v>32</v>
      </c>
      <c r="D481" t="s">
        <v>17</v>
      </c>
      <c r="E481">
        <v>53</v>
      </c>
      <c r="F481">
        <v>78</v>
      </c>
      <c r="G481">
        <v>67.95</v>
      </c>
      <c r="H481">
        <v>188166</v>
      </c>
      <c r="I481">
        <v>29533</v>
      </c>
      <c r="J481">
        <v>1118097</v>
      </c>
      <c r="K481">
        <v>1415880</v>
      </c>
      <c r="L481">
        <v>7</v>
      </c>
      <c r="M481" t="s">
        <v>33</v>
      </c>
      <c r="N481">
        <v>4.2</v>
      </c>
    </row>
    <row r="482" spans="1:14" x14ac:dyDescent="0.35">
      <c r="A482" t="s">
        <v>778</v>
      </c>
      <c r="B482" t="s">
        <v>338</v>
      </c>
      <c r="C482" t="s">
        <v>36</v>
      </c>
      <c r="D482" t="s">
        <v>43</v>
      </c>
      <c r="E482">
        <v>169</v>
      </c>
      <c r="F482">
        <v>232</v>
      </c>
      <c r="G482">
        <v>72.84</v>
      </c>
      <c r="H482">
        <v>619388</v>
      </c>
      <c r="I482">
        <v>98540</v>
      </c>
      <c r="J482">
        <v>516752</v>
      </c>
      <c r="K482">
        <v>1136101</v>
      </c>
      <c r="L482">
        <v>56</v>
      </c>
      <c r="M482" t="s">
        <v>18</v>
      </c>
      <c r="N482">
        <v>3.8</v>
      </c>
    </row>
    <row r="483" spans="1:14" x14ac:dyDescent="0.35">
      <c r="A483" t="s">
        <v>779</v>
      </c>
      <c r="B483" t="s">
        <v>758</v>
      </c>
      <c r="C483" t="s">
        <v>29</v>
      </c>
      <c r="D483" t="s">
        <v>43</v>
      </c>
      <c r="E483">
        <v>207</v>
      </c>
      <c r="F483">
        <v>232</v>
      </c>
      <c r="G483">
        <v>89.22</v>
      </c>
      <c r="H483">
        <v>1618424</v>
      </c>
      <c r="I483">
        <v>112359</v>
      </c>
      <c r="J483">
        <v>301488</v>
      </c>
      <c r="K483">
        <v>857265</v>
      </c>
      <c r="L483">
        <v>11</v>
      </c>
      <c r="M483" t="s">
        <v>33</v>
      </c>
      <c r="N483">
        <v>3.9</v>
      </c>
    </row>
    <row r="484" spans="1:14" x14ac:dyDescent="0.35">
      <c r="A484" t="s">
        <v>780</v>
      </c>
      <c r="B484" t="s">
        <v>781</v>
      </c>
      <c r="C484" t="s">
        <v>36</v>
      </c>
      <c r="D484" t="s">
        <v>43</v>
      </c>
      <c r="E484">
        <v>204</v>
      </c>
      <c r="F484">
        <v>232</v>
      </c>
      <c r="G484">
        <v>87.93</v>
      </c>
      <c r="H484">
        <v>1328048</v>
      </c>
      <c r="I484">
        <v>110595</v>
      </c>
      <c r="J484">
        <v>711130</v>
      </c>
      <c r="K484">
        <v>1135679</v>
      </c>
      <c r="L484">
        <v>33</v>
      </c>
      <c r="M484" t="s">
        <v>18</v>
      </c>
      <c r="N484">
        <v>3.6</v>
      </c>
    </row>
    <row r="485" spans="1:14" x14ac:dyDescent="0.35">
      <c r="A485" t="s">
        <v>782</v>
      </c>
      <c r="B485" t="s">
        <v>687</v>
      </c>
      <c r="C485" t="s">
        <v>76</v>
      </c>
      <c r="D485" t="s">
        <v>17</v>
      </c>
      <c r="E485">
        <v>66</v>
      </c>
      <c r="F485">
        <v>78</v>
      </c>
      <c r="G485">
        <v>84.62</v>
      </c>
      <c r="H485">
        <v>408294</v>
      </c>
      <c r="I485">
        <v>18526</v>
      </c>
      <c r="J485">
        <v>420917</v>
      </c>
      <c r="K485">
        <v>1022851</v>
      </c>
      <c r="L485">
        <v>28</v>
      </c>
      <c r="M485" t="s">
        <v>18</v>
      </c>
      <c r="N485">
        <v>3.7</v>
      </c>
    </row>
    <row r="486" spans="1:14" x14ac:dyDescent="0.35">
      <c r="A486" t="s">
        <v>783</v>
      </c>
      <c r="B486" t="s">
        <v>784</v>
      </c>
      <c r="C486" t="s">
        <v>36</v>
      </c>
      <c r="D486" t="s">
        <v>24</v>
      </c>
      <c r="E486">
        <v>170</v>
      </c>
      <c r="F486">
        <v>180</v>
      </c>
      <c r="G486">
        <v>94.44</v>
      </c>
      <c r="H486">
        <v>602104</v>
      </c>
      <c r="I486">
        <v>93270</v>
      </c>
      <c r="J486">
        <v>1022963</v>
      </c>
      <c r="K486">
        <v>1442553</v>
      </c>
      <c r="L486">
        <v>8</v>
      </c>
      <c r="M486" t="s">
        <v>33</v>
      </c>
      <c r="N486">
        <v>3.6</v>
      </c>
    </row>
    <row r="487" spans="1:14" x14ac:dyDescent="0.35">
      <c r="A487" t="s">
        <v>785</v>
      </c>
      <c r="B487" t="s">
        <v>526</v>
      </c>
      <c r="C487" t="s">
        <v>59</v>
      </c>
      <c r="D487" t="s">
        <v>24</v>
      </c>
      <c r="E487">
        <v>112</v>
      </c>
      <c r="F487">
        <v>180</v>
      </c>
      <c r="G487">
        <v>62.22</v>
      </c>
      <c r="H487">
        <v>679385</v>
      </c>
      <c r="I487">
        <v>130133</v>
      </c>
      <c r="J487">
        <v>557236</v>
      </c>
      <c r="K487">
        <v>757640</v>
      </c>
      <c r="L487">
        <v>41</v>
      </c>
      <c r="M487" t="s">
        <v>18</v>
      </c>
      <c r="N487">
        <v>4.8</v>
      </c>
    </row>
    <row r="488" spans="1:14" x14ac:dyDescent="0.35">
      <c r="A488" t="s">
        <v>786</v>
      </c>
      <c r="B488" t="s">
        <v>787</v>
      </c>
      <c r="C488" t="s">
        <v>16</v>
      </c>
      <c r="D488" t="s">
        <v>17</v>
      </c>
      <c r="E488">
        <v>52</v>
      </c>
      <c r="F488">
        <v>78</v>
      </c>
      <c r="G488">
        <v>66.67</v>
      </c>
      <c r="H488">
        <v>264148</v>
      </c>
      <c r="I488">
        <v>104753</v>
      </c>
      <c r="J488">
        <v>383246</v>
      </c>
      <c r="K488">
        <v>505338</v>
      </c>
      <c r="L488">
        <v>20</v>
      </c>
      <c r="M488" t="s">
        <v>18</v>
      </c>
      <c r="N488">
        <v>3.7</v>
      </c>
    </row>
    <row r="489" spans="1:14" x14ac:dyDescent="0.35">
      <c r="A489" t="s">
        <v>788</v>
      </c>
      <c r="B489" t="s">
        <v>177</v>
      </c>
      <c r="C489" t="s">
        <v>21</v>
      </c>
      <c r="D489" t="s">
        <v>43</v>
      </c>
      <c r="E489">
        <v>191</v>
      </c>
      <c r="F489">
        <v>232</v>
      </c>
      <c r="G489">
        <v>82.33</v>
      </c>
      <c r="H489">
        <v>713086</v>
      </c>
      <c r="I489">
        <v>135886</v>
      </c>
      <c r="J489">
        <v>870226</v>
      </c>
      <c r="K489">
        <v>1428526</v>
      </c>
      <c r="L489">
        <v>27</v>
      </c>
      <c r="M489" t="s">
        <v>18</v>
      </c>
      <c r="N489">
        <v>3.4</v>
      </c>
    </row>
    <row r="490" spans="1:14" x14ac:dyDescent="0.35">
      <c r="A490" t="s">
        <v>789</v>
      </c>
      <c r="B490" t="s">
        <v>100</v>
      </c>
      <c r="C490" t="s">
        <v>59</v>
      </c>
      <c r="D490" t="s">
        <v>24</v>
      </c>
      <c r="E490">
        <v>169</v>
      </c>
      <c r="F490">
        <v>180</v>
      </c>
      <c r="G490">
        <v>93.89</v>
      </c>
      <c r="H490">
        <v>914181</v>
      </c>
      <c r="I490">
        <v>137227</v>
      </c>
      <c r="J490">
        <v>673741</v>
      </c>
      <c r="K490">
        <v>923713</v>
      </c>
      <c r="L490">
        <v>88</v>
      </c>
      <c r="M490" t="s">
        <v>18</v>
      </c>
      <c r="N490">
        <v>4.7</v>
      </c>
    </row>
    <row r="491" spans="1:14" x14ac:dyDescent="0.35">
      <c r="A491" t="s">
        <v>790</v>
      </c>
      <c r="B491" t="s">
        <v>257</v>
      </c>
      <c r="C491" t="s">
        <v>117</v>
      </c>
      <c r="D491" t="s">
        <v>43</v>
      </c>
      <c r="E491">
        <v>200</v>
      </c>
      <c r="F491">
        <v>232</v>
      </c>
      <c r="G491">
        <v>86.21</v>
      </c>
      <c r="H491">
        <v>1560424</v>
      </c>
      <c r="I491">
        <v>74903</v>
      </c>
      <c r="J491">
        <v>548217</v>
      </c>
      <c r="K491">
        <v>1053108</v>
      </c>
      <c r="L491">
        <v>73</v>
      </c>
      <c r="M491" t="s">
        <v>18</v>
      </c>
      <c r="N491">
        <v>4.2</v>
      </c>
    </row>
    <row r="492" spans="1:14" x14ac:dyDescent="0.35">
      <c r="A492" t="s">
        <v>791</v>
      </c>
      <c r="B492" t="s">
        <v>426</v>
      </c>
      <c r="C492" t="s">
        <v>16</v>
      </c>
      <c r="D492" t="s">
        <v>17</v>
      </c>
      <c r="E492">
        <v>54</v>
      </c>
      <c r="F492">
        <v>78</v>
      </c>
      <c r="G492">
        <v>69.23</v>
      </c>
      <c r="H492">
        <v>307824</v>
      </c>
      <c r="I492">
        <v>87518</v>
      </c>
      <c r="J492">
        <v>1167145</v>
      </c>
      <c r="K492">
        <v>1780695</v>
      </c>
      <c r="L492">
        <v>84</v>
      </c>
      <c r="M492" t="s">
        <v>18</v>
      </c>
      <c r="N492">
        <v>4.8</v>
      </c>
    </row>
    <row r="493" spans="1:14" x14ac:dyDescent="0.35">
      <c r="A493" t="s">
        <v>792</v>
      </c>
      <c r="B493" t="s">
        <v>555</v>
      </c>
      <c r="C493" t="s">
        <v>29</v>
      </c>
      <c r="D493" t="s">
        <v>43</v>
      </c>
      <c r="E493">
        <v>171</v>
      </c>
      <c r="F493">
        <v>232</v>
      </c>
      <c r="G493">
        <v>73.709999999999994</v>
      </c>
      <c r="H493">
        <v>1311883</v>
      </c>
      <c r="I493">
        <v>109747</v>
      </c>
      <c r="J493">
        <v>773600</v>
      </c>
      <c r="K493">
        <v>1186581</v>
      </c>
      <c r="L493">
        <v>31</v>
      </c>
      <c r="M493" t="s">
        <v>18</v>
      </c>
      <c r="N493">
        <v>4.8</v>
      </c>
    </row>
    <row r="494" spans="1:14" x14ac:dyDescent="0.35">
      <c r="A494" t="s">
        <v>793</v>
      </c>
      <c r="B494" t="s">
        <v>794</v>
      </c>
      <c r="C494" t="s">
        <v>39</v>
      </c>
      <c r="D494" t="s">
        <v>24</v>
      </c>
      <c r="E494">
        <v>153</v>
      </c>
      <c r="F494">
        <v>180</v>
      </c>
      <c r="G494">
        <v>85</v>
      </c>
      <c r="H494">
        <v>952238</v>
      </c>
      <c r="I494">
        <v>55014</v>
      </c>
      <c r="J494">
        <v>1164635</v>
      </c>
      <c r="K494">
        <v>1708119</v>
      </c>
      <c r="L494">
        <v>3</v>
      </c>
      <c r="M494" t="s">
        <v>33</v>
      </c>
      <c r="N494">
        <v>3.5</v>
      </c>
    </row>
    <row r="495" spans="1:14" x14ac:dyDescent="0.35">
      <c r="A495" t="s">
        <v>795</v>
      </c>
      <c r="B495" t="s">
        <v>796</v>
      </c>
      <c r="C495" t="s">
        <v>39</v>
      </c>
      <c r="D495" t="s">
        <v>43</v>
      </c>
      <c r="E495">
        <v>161</v>
      </c>
      <c r="F495">
        <v>232</v>
      </c>
      <c r="G495">
        <v>69.400000000000006</v>
      </c>
      <c r="H495">
        <v>1411556</v>
      </c>
      <c r="I495">
        <v>97744</v>
      </c>
      <c r="J495">
        <v>848425</v>
      </c>
      <c r="K495">
        <v>1414808</v>
      </c>
      <c r="L495">
        <v>30</v>
      </c>
      <c r="M495" t="s">
        <v>18</v>
      </c>
      <c r="N495">
        <v>3.2</v>
      </c>
    </row>
    <row r="496" spans="1:14" x14ac:dyDescent="0.35">
      <c r="A496" t="s">
        <v>797</v>
      </c>
      <c r="B496" t="s">
        <v>515</v>
      </c>
      <c r="C496" t="s">
        <v>32</v>
      </c>
      <c r="D496" t="s">
        <v>24</v>
      </c>
      <c r="E496">
        <v>174</v>
      </c>
      <c r="F496">
        <v>180</v>
      </c>
      <c r="G496">
        <v>96.67</v>
      </c>
      <c r="H496">
        <v>1344550</v>
      </c>
      <c r="I496">
        <v>58030</v>
      </c>
      <c r="J496">
        <v>663455</v>
      </c>
      <c r="K496">
        <v>1331409</v>
      </c>
      <c r="L496">
        <v>57</v>
      </c>
      <c r="M496" t="s">
        <v>18</v>
      </c>
      <c r="N496">
        <v>3.7</v>
      </c>
    </row>
    <row r="497" spans="1:14" x14ac:dyDescent="0.35">
      <c r="A497" t="s">
        <v>798</v>
      </c>
      <c r="B497" t="s">
        <v>38</v>
      </c>
      <c r="C497" t="s">
        <v>42</v>
      </c>
      <c r="D497" t="s">
        <v>17</v>
      </c>
      <c r="E497">
        <v>69</v>
      </c>
      <c r="F497">
        <v>78</v>
      </c>
      <c r="G497">
        <v>88.46</v>
      </c>
      <c r="H497">
        <v>530751</v>
      </c>
      <c r="I497">
        <v>139948</v>
      </c>
      <c r="J497">
        <v>761250</v>
      </c>
      <c r="K497">
        <v>1248210</v>
      </c>
      <c r="L497">
        <v>47</v>
      </c>
      <c r="M497" t="s">
        <v>18</v>
      </c>
      <c r="N497">
        <v>4.7</v>
      </c>
    </row>
    <row r="498" spans="1:14" x14ac:dyDescent="0.35">
      <c r="A498" t="s">
        <v>799</v>
      </c>
      <c r="B498" t="s">
        <v>82</v>
      </c>
      <c r="C498" t="s">
        <v>21</v>
      </c>
      <c r="D498" t="s">
        <v>24</v>
      </c>
      <c r="E498">
        <v>149</v>
      </c>
      <c r="F498">
        <v>180</v>
      </c>
      <c r="G498">
        <v>82.78</v>
      </c>
      <c r="H498">
        <v>548426</v>
      </c>
      <c r="I498">
        <v>77584</v>
      </c>
      <c r="J498">
        <v>820100</v>
      </c>
      <c r="K498">
        <v>1320079</v>
      </c>
      <c r="L498">
        <v>27</v>
      </c>
      <c r="M498" t="s">
        <v>18</v>
      </c>
      <c r="N498">
        <v>3.3</v>
      </c>
    </row>
    <row r="499" spans="1:14" x14ac:dyDescent="0.35">
      <c r="A499" t="s">
        <v>800</v>
      </c>
      <c r="B499" t="s">
        <v>596</v>
      </c>
      <c r="C499" t="s">
        <v>32</v>
      </c>
      <c r="D499" t="s">
        <v>43</v>
      </c>
      <c r="E499">
        <v>195</v>
      </c>
      <c r="F499">
        <v>232</v>
      </c>
      <c r="G499">
        <v>84.05</v>
      </c>
      <c r="H499">
        <v>1380197</v>
      </c>
      <c r="I499">
        <v>22464</v>
      </c>
      <c r="J499">
        <v>925823</v>
      </c>
      <c r="K499">
        <v>1540768</v>
      </c>
      <c r="L499">
        <v>57</v>
      </c>
      <c r="M499" t="s">
        <v>18</v>
      </c>
      <c r="N499">
        <v>3.2</v>
      </c>
    </row>
    <row r="500" spans="1:14" x14ac:dyDescent="0.35">
      <c r="A500" t="s">
        <v>801</v>
      </c>
      <c r="B500" t="s">
        <v>802</v>
      </c>
      <c r="C500" t="s">
        <v>39</v>
      </c>
      <c r="D500" t="s">
        <v>24</v>
      </c>
      <c r="E500">
        <v>165</v>
      </c>
      <c r="F500">
        <v>180</v>
      </c>
      <c r="G500">
        <v>91.67</v>
      </c>
      <c r="H500">
        <v>1321004</v>
      </c>
      <c r="I500">
        <v>56543</v>
      </c>
      <c r="J500">
        <v>1165684</v>
      </c>
      <c r="K500">
        <v>1741843</v>
      </c>
      <c r="L500">
        <v>10</v>
      </c>
      <c r="M500" t="s">
        <v>33</v>
      </c>
      <c r="N500">
        <v>3.3</v>
      </c>
    </row>
    <row r="501" spans="1:14" x14ac:dyDescent="0.35">
      <c r="A501" t="s">
        <v>803</v>
      </c>
      <c r="B501" t="s">
        <v>52</v>
      </c>
      <c r="C501" t="s">
        <v>117</v>
      </c>
      <c r="D501" t="s">
        <v>43</v>
      </c>
      <c r="E501">
        <v>195</v>
      </c>
      <c r="F501">
        <v>232</v>
      </c>
      <c r="G501">
        <v>84.05</v>
      </c>
      <c r="H501">
        <v>719344</v>
      </c>
      <c r="I501">
        <v>133232</v>
      </c>
      <c r="J501">
        <v>1018547</v>
      </c>
      <c r="K501">
        <v>1202464</v>
      </c>
      <c r="L501">
        <v>11</v>
      </c>
      <c r="M501" t="s">
        <v>33</v>
      </c>
      <c r="N501">
        <v>4.3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24FD4B-C9AD-4906-A3AA-9327668974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Aircraft Wise Analysis</vt:lpstr>
      <vt:lpstr>Route Wise Analysis</vt:lpstr>
      <vt:lpstr>MOM Trend Analysis</vt:lpstr>
      <vt:lpstr>IndiGo_Flight_Cleaned_Data</vt:lpstr>
      <vt:lpstr>IndiGo_Flight_Data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 kumar M G</cp:lastModifiedBy>
  <dcterms:created xsi:type="dcterms:W3CDTF">2026-06-04T10:13:21Z</dcterms:created>
  <dcterms:modified xsi:type="dcterms:W3CDTF">2026-06-05T13:46:45Z</dcterms:modified>
</cp:coreProperties>
</file>